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Mapeamento" sheetId="1" state="visible" r:id="rId3"/>
    <sheet name="CRI" sheetId="2" state="visible" r:id="rId4"/>
    <sheet name="CRA" sheetId="3" state="visible" r:id="rId5"/>
    <sheet name="FIDC" sheetId="4" state="visible" r:id="rId6"/>
    <sheet name="Debêntures" sheetId="5" state="visible" r:id="rId7"/>
    <sheet name="NC_CR" sheetId="6" state="visible" r:id="rId8"/>
    <sheet name="Tabela_B3_CSD" sheetId="7" state="visible" r:id="rId9"/>
    <sheet name="EmissãoNC_Laqu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<sst xmlns="http://schemas.openxmlformats.org/spreadsheetml/2006/main" count="729" uniqueCount="328">
  <si>
    <t xml:space="preserve">BLOXS CAPITAL MARKETS  |  Mapeamento de Custos por Instrumento</t>
  </si>
  <si>
    <t xml:space="preserve">Categoria de Custo</t>
  </si>
  <si>
    <t xml:space="preserve">Agente / Prestador</t>
  </si>
  <si>
    <t xml:space="preserve">CRI</t>
  </si>
  <si>
    <t xml:space="preserve">CRA</t>
  </si>
  <si>
    <t xml:space="preserve">FIDC</t>
  </si>
  <si>
    <t xml:space="preserve">Debêntures</t>
  </si>
  <si>
    <t xml:space="preserve">NC / CR</t>
  </si>
  <si>
    <t xml:space="preserve">Periodicidade</t>
  </si>
  <si>
    <t xml:space="preserve">Quem Paga</t>
  </si>
  <si>
    <t xml:space="preserve">Observações</t>
  </si>
  <si>
    <t xml:space="preserve">  ESTRUTURAÇÃO (ONE-SHOT)</t>
  </si>
  <si>
    <t xml:space="preserve">Estruturação / Setup</t>
  </si>
  <si>
    <t xml:space="preserve">Bloxs Secur.</t>
  </si>
  <si>
    <t xml:space="preserve">R$ 30.000</t>
  </si>
  <si>
    <t xml:space="preserve">R$ 50.000</t>
  </si>
  <si>
    <t xml:space="preserve">R$ 15–25k</t>
  </si>
  <si>
    <t xml:space="preserve">Ato</t>
  </si>
  <si>
    <t xml:space="preserve">Emissor</t>
  </si>
  <si>
    <t xml:space="preserve">Fee único na constituição</t>
  </si>
  <si>
    <t xml:space="preserve">Registro B3 / Cetip</t>
  </si>
  <si>
    <t xml:space="preserve">B3</t>
  </si>
  <si>
    <t xml:space="preserve">Progressiva</t>
  </si>
  <si>
    <t xml:space="preserve">—</t>
  </si>
  <si>
    <t xml:space="preserve">R$ 5–15k</t>
  </si>
  <si>
    <t xml:space="preserve">Pat.Sep.</t>
  </si>
  <si>
    <t xml:space="preserve">Faixa até R$50MM</t>
  </si>
  <si>
    <t xml:space="preserve">Taxa de Emissão</t>
  </si>
  <si>
    <t xml:space="preserve">Securitizadora</t>
  </si>
  <si>
    <t xml:space="preserve">Variável</t>
  </si>
  <si>
    <t xml:space="preserve">% sobre volume emitido</t>
  </si>
  <si>
    <t xml:space="preserve">Rating</t>
  </si>
  <si>
    <t xml:space="preserve">Fitch/Moody's/S&amp;P</t>
  </si>
  <si>
    <t xml:space="preserve">Opcional</t>
  </si>
  <si>
    <t xml:space="preserve">Recomendado</t>
  </si>
  <si>
    <t xml:space="preserve">Anual</t>
  </si>
  <si>
    <t xml:space="preserve">R$ 40–80k/ano</t>
  </si>
  <si>
    <t xml:space="preserve">  CUSTOS RECORRENTES</t>
  </si>
  <si>
    <t xml:space="preserve">Gestão / Administração</t>
  </si>
  <si>
    <t xml:space="preserve">Bloxs / Admin.</t>
  </si>
  <si>
    <t xml:space="preserve">R$ 3.000/mês</t>
  </si>
  <si>
    <t xml:space="preserve">R$ 15–20k/mês</t>
  </si>
  <si>
    <t xml:space="preserve">R$ 1,5–3k/mês</t>
  </si>
  <si>
    <t xml:space="preserve">Mensal</t>
  </si>
  <si>
    <t xml:space="preserve">FIDC: gestor+admin</t>
  </si>
  <si>
    <t xml:space="preserve">Custódia</t>
  </si>
  <si>
    <t xml:space="preserve">B3 / Banco Paulista</t>
  </si>
  <si>
    <t xml:space="preserve">0,0008% a.a.</t>
  </si>
  <si>
    <t xml:space="preserve">R$ 1.500/mês (3P)</t>
  </si>
  <si>
    <t xml:space="preserve">0,05–0,10% a.a.</t>
  </si>
  <si>
    <t xml:space="preserve">Sobre saldo</t>
  </si>
  <si>
    <t xml:space="preserve">Escrituração + Depósito</t>
  </si>
  <si>
    <t xml:space="preserve">Laqus / CSD</t>
  </si>
  <si>
    <t xml:space="preserve">0,07% a.a.</t>
  </si>
  <si>
    <t xml:space="preserve">Pacote flat fee</t>
  </si>
  <si>
    <t xml:space="preserve">Agente Fiduciário</t>
  </si>
  <si>
    <t xml:space="preserve">Terra/Lastro/Daycoval</t>
  </si>
  <si>
    <t xml:space="preserve">R$ 20k/ano</t>
  </si>
  <si>
    <t xml:space="preserve">Obrigatório em oferta pública</t>
  </si>
  <si>
    <t xml:space="preserve">Servicer Provider</t>
  </si>
  <si>
    <t xml:space="preserve">Operador especializado</t>
  </si>
  <si>
    <t xml:space="preserve">R$ 70k/mês</t>
  </si>
  <si>
    <t xml:space="preserve">Gestão dos recebíveis</t>
  </si>
  <si>
    <t xml:space="preserve">Agente Certificador</t>
  </si>
  <si>
    <t xml:space="preserve">Pagbem / BrBOX</t>
  </si>
  <si>
    <t xml:space="preserve">R$ 5k/mês</t>
  </si>
  <si>
    <t xml:space="preserve">Cessão eletrônica</t>
  </si>
  <si>
    <t xml:space="preserve">Auditoria Externa</t>
  </si>
  <si>
    <t xml:space="preserve">Baker Tilly / BDO</t>
  </si>
  <si>
    <t xml:space="preserve">R$ 36k/ano</t>
  </si>
  <si>
    <t xml:space="preserve">R$ 30–60k/ano</t>
  </si>
  <si>
    <t xml:space="preserve">Obrigatória FIDC</t>
  </si>
  <si>
    <t xml:space="preserve">Taxa Fiscalização CVM</t>
  </si>
  <si>
    <t xml:space="preserve">CVM</t>
  </si>
  <si>
    <t xml:space="preserve">R$ 4.500/trim.</t>
  </si>
  <si>
    <t xml:space="preserve">Trimestral</t>
  </si>
  <si>
    <t xml:space="preserve">Baseado no PL</t>
  </si>
  <si>
    <t xml:space="preserve">Outros (Cetip, Selic)</t>
  </si>
  <si>
    <t xml:space="preserve">Infraestrutura</t>
  </si>
  <si>
    <t xml:space="preserve">Incluso Laqus</t>
  </si>
  <si>
    <t xml:space="preserve">Tarifas operacionais</t>
  </si>
  <si>
    <t xml:space="preserve">Verificação de Covenants</t>
  </si>
  <si>
    <t xml:space="preserve">R$ 500/verif.</t>
  </si>
  <si>
    <t xml:space="preserve">Por evento</t>
  </si>
  <si>
    <t xml:space="preserve">Se houver cláusulas</t>
  </si>
  <si>
    <t xml:space="preserve">Conta Escrow</t>
  </si>
  <si>
    <t xml:space="preserve">  SUCCESS FEE</t>
  </si>
  <si>
    <t xml:space="preserve">Success Fee Bloxs</t>
  </si>
  <si>
    <t xml:space="preserve">Bloxs Capital Markets</t>
  </si>
  <si>
    <t xml:space="preserve">2%–4%</t>
  </si>
  <si>
    <t xml:space="preserve">Ato (liquidação)</t>
  </si>
  <si>
    <t xml:space="preserve">Padrão 3% sobre volume captado</t>
  </si>
  <si>
    <t xml:space="preserve">Coordenação RCVM 161 (passiva)</t>
  </si>
  <si>
    <t xml:space="preserve">Bloxs / Coordenador</t>
  </si>
  <si>
    <t xml:space="preserve">0,5%–1%</t>
  </si>
  <si>
    <t xml:space="preserve">Só oferta pública</t>
  </si>
  <si>
    <t xml:space="preserve">Distribuição RCVM 161 (ativa)</t>
  </si>
  <si>
    <t xml:space="preserve">Bloxs / Distribuidor</t>
  </si>
  <si>
    <t xml:space="preserve">% sobre volume liquidado</t>
  </si>
  <si>
    <t xml:space="preserve">Fonte: Tabela de Preços Bloxs (2025–2026) | CUSTOS NC_CR.xlsx | Estruturação - FIDC 2.xlsx</t>
  </si>
  <si>
    <t xml:space="preserve">BLOXS  |  Certificado de Recebíveis Imobiliários (CRI)  — Simulador de Custos</t>
  </si>
  <si>
    <t xml:space="preserve">  INPUTS DA OPERAÇÃO  (células amarelas = editáveis)</t>
  </si>
  <si>
    <t xml:space="preserve">Volume da Operação (R$)</t>
  </si>
  <si>
    <t xml:space="preserve">← altere para simular (Success Fee: 2%–4%, padrão 3%)</t>
  </si>
  <si>
    <t xml:space="preserve">Prazo (meses)</t>
  </si>
  <si>
    <t xml:space="preserve">Success Fee Bloxs (%)</t>
  </si>
  <si>
    <t xml:space="preserve">Item de Custo</t>
  </si>
  <si>
    <t xml:space="preserve">Taxa / Ref.</t>
  </si>
  <si>
    <t xml:space="preserve">Qtd / Prazo</t>
  </si>
  <si>
    <t xml:space="preserve">Custo Unit. (R$)</t>
  </si>
  <si>
    <t xml:space="preserve">Total (R$)</t>
  </si>
  <si>
    <t xml:space="preserve">  INFRAESTRUTURA (Laqus / B3)</t>
  </si>
  <si>
    <t xml:space="preserve">Escrituração + Depósito + Custódia NC (Laqus)</t>
  </si>
  <si>
    <t xml:space="preserve">Laqus</t>
  </si>
  <si>
    <t xml:space="preserve">Flat fee</t>
  </si>
  <si>
    <t xml:space="preserve">Registro CRI na B3 (faixa até R$50MM)</t>
  </si>
  <si>
    <t xml:space="preserve">1x</t>
  </si>
  <si>
    <t xml:space="preserve">Pat. Separado</t>
  </si>
  <si>
    <t xml:space="preserve">Custódia CRI na B3 (mensal × prazo)</t>
  </si>
  <si>
    <t xml:space="preserve">  BLOXS SECURITIZADORA</t>
  </si>
  <si>
    <t xml:space="preserve">Estruturação (one-shot)</t>
  </si>
  <si>
    <t xml:space="preserve">Bloxs Securitizadora</t>
  </si>
  <si>
    <t xml:space="preserve">Fixa</t>
  </si>
  <si>
    <t xml:space="preserve">Taxa de Gestão CRI (mensal × prazo)</t>
  </si>
  <si>
    <t xml:space="preserve">R$/mês</t>
  </si>
  <si>
    <t xml:space="preserve">Verificação de Covenants (qtd. × custo unitário)</t>
  </si>
  <si>
    <t xml:space="preserve">R$/verif.</t>
  </si>
  <si>
    <t xml:space="preserve">  AGENTE FIDUCIÁRIO (obrigatório em oferta pública)</t>
  </si>
  <si>
    <t xml:space="preserve">Agente Fiduciário CRI (Terra/Lastro/Daycoval)</t>
  </si>
  <si>
    <t xml:space="preserve">R$/ano</t>
  </si>
  <si>
    <t xml:space="preserve">Escriturador CRI (se aplicável)</t>
  </si>
  <si>
    <t xml:space="preserve">Ag. Liquidação CRI (se aplicável)</t>
  </si>
  <si>
    <t xml:space="preserve">Escrituração (R$/mês)</t>
  </si>
  <si>
    <t xml:space="preserve">Parceiro 3P</t>
  </si>
  <si>
    <t xml:space="preserve">CUSTO TOTAL (excl. Success Fee)</t>
  </si>
  <si>
    <t xml:space="preserve">  % sobre volume</t>
  </si>
  <si>
    <t xml:space="preserve">Success Fee Bloxs (% × volume)</t>
  </si>
  <si>
    <t xml:space="preserve">CUSTO TOTAL GERAL (incl. Success Fee)</t>
  </si>
  <si>
    <t xml:space="preserve">  % do volume total (incl. Success Fee)</t>
  </si>
  <si>
    <t xml:space="preserve">Fonte: CUSTOS NC _ CR.xlsx | Estruturação - FIDC 2.xlsx (Bloxs, 2025–2026). Custos de referência.</t>
  </si>
  <si>
    <t xml:space="preserve">BLOXS  |  Certificado de Recebíveis do Agronegócio (CRA)  — Simulador de Custos</t>
  </si>
  <si>
    <t xml:space="preserve">Registro CRA na B3 (faixa até R$50MM)</t>
  </si>
  <si>
    <t xml:space="preserve">Custódia CRA na B3 (mensal × prazo)</t>
  </si>
  <si>
    <t xml:space="preserve">Taxa de Gestão CRA (mensal × prazo)</t>
  </si>
  <si>
    <t xml:space="preserve">  AGENTE FIDUCIÁRIO (obrigatório em CRA)</t>
  </si>
  <si>
    <t xml:space="preserve">Agente Fiduciário CRA (Terra/Lastro/Daycoval)</t>
  </si>
  <si>
    <t xml:space="preserve">Escriturador CRA (se aplicável)</t>
  </si>
  <si>
    <t xml:space="preserve">  RATING (opcional)</t>
  </si>
  <si>
    <t xml:space="preserve">Agência de Rating (Fitch/Moody's/Austin)</t>
  </si>
  <si>
    <t xml:space="preserve">BLOXS  |  Fundo de Investimento em Direitos Creditórios (FIDC)  — Simulador de Custos</t>
  </si>
  <si>
    <t xml:space="preserve">  CONSTITUIÇÃO / ESTRUTURAÇÃO (one-shot)</t>
  </si>
  <si>
    <t xml:space="preserve">Estruturação / Setup do Fundo</t>
  </si>
  <si>
    <t xml:space="preserve">Bloxs / Estruturador</t>
  </si>
  <si>
    <t xml:space="preserve">Fundo</t>
  </si>
  <si>
    <t xml:space="preserve">Taxa de Registro / Publicação CVM</t>
  </si>
  <si>
    <t xml:space="preserve">  CUSTOS MENSAIS RECORRENTES</t>
  </si>
  <si>
    <t xml:space="preserve">Taxa de Gestão</t>
  </si>
  <si>
    <t xml:space="preserve">Gestor (R2C / Bloxs)</t>
  </si>
  <si>
    <t xml:space="preserve">0,30% a.a. (Bloxs) ou R$/mês externo</t>
  </si>
  <si>
    <t xml:space="preserve">Taxa de Administração</t>
  </si>
  <si>
    <t xml:space="preserve">Administrador (Socopa / Oliveira Trust)</t>
  </si>
  <si>
    <t xml:space="preserve">Taxa de Custódia</t>
  </si>
  <si>
    <t xml:space="preserve">Custodiante (3P)</t>
  </si>
  <si>
    <t xml:space="preserve">Servicer Provider / Consultoria Especializada</t>
  </si>
  <si>
    <t xml:space="preserve">Operador (Pagbem / Outros)</t>
  </si>
  <si>
    <t xml:space="preserve">Agente Certificador / Sistema (cessão eletrônica)</t>
  </si>
  <si>
    <t xml:space="preserve">Outros (Cetip, Selic, Tarifas bancárias)</t>
  </si>
  <si>
    <t xml:space="preserve">  CUSTOS ANUAIS RECORRENTES</t>
  </si>
  <si>
    <t xml:space="preserve">Auditoria Externa (Baker Tilly / BDO)</t>
  </si>
  <si>
    <t xml:space="preserve">Auditor</t>
  </si>
  <si>
    <t xml:space="preserve">Taxa de Fiscalização CVM (trimestral)</t>
  </si>
  <si>
    <t xml:space="preserve">R$/trim.</t>
  </si>
  <si>
    <t xml:space="preserve">Rating (opcional)</t>
  </si>
  <si>
    <t xml:space="preserve">Fitch / Moody's / Austin</t>
  </si>
  <si>
    <t xml:space="preserve">BLOXS  |  Debêntures (Simples / Incentivadas / Conversíveis)  — Simulador de Custos</t>
  </si>
  <si>
    <t xml:space="preserve">  ESTRUTURAÇÃO E REGISTRO (one-shot)</t>
  </si>
  <si>
    <t xml:space="preserve">Estruturação / Assessoria de Emissão</t>
  </si>
  <si>
    <t xml:space="preserve">Registro B3 / Cetip (taxa de emissão)</t>
  </si>
  <si>
    <t xml:space="preserve">R$ flat</t>
  </si>
  <si>
    <t xml:space="preserve">Due Diligence Jurídica / Documentação</t>
  </si>
  <si>
    <t xml:space="preserve">Escritório Jurídico</t>
  </si>
  <si>
    <t xml:space="preserve">R$ estimado</t>
  </si>
  <si>
    <t xml:space="preserve">Terra / Lastro / Daycoval</t>
  </si>
  <si>
    <t xml:space="preserve">Escriturador</t>
  </si>
  <si>
    <t xml:space="preserve">Custódia / Escrituração B3 (% a.a. sobre saldo)</t>
  </si>
  <si>
    <t xml:space="preserve">B3 / Cetip</t>
  </si>
  <si>
    <t xml:space="preserve">  CUSTOS OPCIONAIS</t>
  </si>
  <si>
    <t xml:space="preserve">Rating (recomendado para distribuição ampla)</t>
  </si>
  <si>
    <t xml:space="preserve">Fitch/Moody's/S&amp;P/Austin</t>
  </si>
  <si>
    <t xml:space="preserve">Auditoria (se exigida)</t>
  </si>
  <si>
    <t xml:space="preserve">BLOXS  |  Nota Comercial / Cédula de Recebíveis (NC → CRI)  — Simulador de Custos</t>
  </si>
  <si>
    <t xml:space="preserve">  INFRAESTRUTURA LAQUS (NC)</t>
  </si>
  <si>
    <t xml:space="preserve">Emissor NC</t>
  </si>
  <si>
    <t xml:space="preserve">Taxa de Gestão CRI/NC (mensal × prazo)</t>
  </si>
  <si>
    <t xml:space="preserve">  B3 — INFRAESTRUTURA CRI (se emissão CR)</t>
  </si>
  <si>
    <t xml:space="preserve">Registro  na B3</t>
  </si>
  <si>
    <t xml:space="preserve">Custódia  na B3 (mensal × prazo)</t>
  </si>
  <si>
    <t xml:space="preserve">  AGENTE FIDUCIÁRIO (se oferta pública)</t>
  </si>
  <si>
    <t xml:space="preserve">Agente Fiduciário (se aplicável)</t>
  </si>
  <si>
    <t xml:space="preserve">TABELA B3 — ITENS RELEVANTES PARA NC E CR</t>
  </si>
  <si>
    <t xml:space="preserve">INFRAESTRUTURA DEBÊNTURES E NOTAS COMERCIAIS (B3)</t>
  </si>
  <si>
    <t xml:space="preserve">Faixa de Volume (R$)</t>
  </si>
  <si>
    <t xml:space="preserve">Admitido Neg.</t>
  </si>
  <si>
    <t xml:space="preserve">NÃO Admitido</t>
  </si>
  <si>
    <t xml:space="preserve">Obs</t>
  </si>
  <si>
    <t xml:space="preserve">0 — 50.000.000</t>
  </si>
  <si>
    <t xml:space="preserve">0,01950%</t>
  </si>
  <si>
    <t xml:space="preserve">0,00975%</t>
  </si>
  <si>
    <t xml:space="preserve">Taxa a.a. progressiva</t>
  </si>
  <si>
    <t xml:space="preserve">50.000.001 — 250.000.000</t>
  </si>
  <si>
    <t xml:space="preserve">0,01830%</t>
  </si>
  <si>
    <t xml:space="preserve">0,00915%</t>
  </si>
  <si>
    <t xml:space="preserve">250.000.001 — 1.000.000.000</t>
  </si>
  <si>
    <t xml:space="preserve">0,01710%</t>
  </si>
  <si>
    <t xml:space="preserve">0,00855%</t>
  </si>
  <si>
    <t xml:space="preserve">1.000.000.001 — 2.500.000.000</t>
  </si>
  <si>
    <t xml:space="preserve">0,01590%</t>
  </si>
  <si>
    <t xml:space="preserve">0,00795%</t>
  </si>
  <si>
    <t xml:space="preserve">2.500.000.001 — 5.000.000.000</t>
  </si>
  <si>
    <t xml:space="preserve">0,01470%</t>
  </si>
  <si>
    <t xml:space="preserve">0,00735%</t>
  </si>
  <si>
    <t xml:space="preserve">5.000.000.001 — 10.000.000.000</t>
  </si>
  <si>
    <t xml:space="preserve">0,01350%</t>
  </si>
  <si>
    <t xml:space="preserve">0,00675%</t>
  </si>
  <si>
    <t xml:space="preserve">&gt; 10.000.000.000</t>
  </si>
  <si>
    <t xml:space="preserve">0,01230%</t>
  </si>
  <si>
    <t xml:space="preserve">0,00615%</t>
  </si>
  <si>
    <t xml:space="preserve">CUSTÓDIA RF GRUPO 2 — NC / DEBÊNTURES (B3)</t>
  </si>
  <si>
    <t xml:space="preserve">Taxa a.a.</t>
  </si>
  <si>
    <t xml:space="preserve">0 — 100.000.000</t>
  </si>
  <si>
    <t xml:space="preserve">0,00200%</t>
  </si>
  <si>
    <t xml:space="preserve">100.000.001 — 300.000.000</t>
  </si>
  <si>
    <t xml:space="preserve">0,00178%</t>
  </si>
  <si>
    <t xml:space="preserve">300.000.001 — 1.000.000.000</t>
  </si>
  <si>
    <t xml:space="preserve">0,00155%</t>
  </si>
  <si>
    <t xml:space="preserve">1.000.000.001 — 3.000.000.000</t>
  </si>
  <si>
    <t xml:space="preserve">0,00132%</t>
  </si>
  <si>
    <t xml:space="preserve">3.000.000.001 — 10.000.000.000</t>
  </si>
  <si>
    <t xml:space="preserve">0,00108%</t>
  </si>
  <si>
    <t xml:space="preserve">0,00043%</t>
  </si>
  <si>
    <t xml:space="preserve">CUSTÓDIA VALORES MOBILIÁRIOS — CRI / CR / CRA (B3)</t>
  </si>
  <si>
    <t xml:space="preserve">Produto</t>
  </si>
  <si>
    <t xml:space="preserve">Base</t>
  </si>
  <si>
    <t xml:space="preserve">0,000800%</t>
  </si>
  <si>
    <t xml:space="preserve">Vol. financeiro</t>
  </si>
  <si>
    <t xml:space="preserve">CR</t>
  </si>
  <si>
    <t xml:space="preserve">0,000300%</t>
  </si>
  <si>
    <t xml:space="preserve">REGISTRO DE VALORES MOBILIÁRIOS — CRI, CRA, COTAS FUNDO FECHADO (B3)</t>
  </si>
  <si>
    <t xml:space="preserve">Taxa</t>
  </si>
  <si>
    <t xml:space="preserve">Mínimo</t>
  </si>
  <si>
    <t xml:space="preserve">0,0290%</t>
  </si>
  <si>
    <t xml:space="preserve">R$ 7.013,97</t>
  </si>
  <si>
    <t xml:space="preserve">0,0230%</t>
  </si>
  <si>
    <t xml:space="preserve">0,0175%</t>
  </si>
  <si>
    <t xml:space="preserve">0,0130%</t>
  </si>
  <si>
    <t xml:space="preserve">&gt; 2.500.000.000</t>
  </si>
  <si>
    <t xml:space="preserve">0,0090%</t>
  </si>
  <si>
    <t xml:space="preserve">LAQUS — ESCRITURAÇÃO, DEPÓSITO E CUSTÓDIA DE NC</t>
  </si>
  <si>
    <t xml:space="preserve">Escrituração + Depósito + Custódia da NC (pacote único)</t>
  </si>
  <si>
    <t xml:space="preserve">0,07% flat</t>
  </si>
  <si>
    <t xml:space="preserve">Pacote — no Cenário A, depósito/custódia migram para B3</t>
  </si>
  <si>
    <t xml:space="preserve">Fonte: Tabela de Preços Balcão sem Garantia e Balcão com Garantia — B3 (documento público) + Proposta comercial LAQUS</t>
  </si>
  <si>
    <t xml:space="preserve">CSD BR REGISTRADORA — TABELA DE PREÇOS (v9.0 — Abr/2024)</t>
  </si>
  <si>
    <t xml:space="preserve">CSD Central de Serviços de Registro e Depósito aos Mercados Financeiro e de Capitais S.A.</t>
  </si>
  <si>
    <t xml:space="preserve">CSD BR — ATIVOS FINANCEIROS</t>
  </si>
  <si>
    <t xml:space="preserve">Tarifa</t>
  </si>
  <si>
    <t xml:space="preserve">Base de Cálculo</t>
  </si>
  <si>
    <t xml:space="preserve">Taxa de Registro</t>
  </si>
  <si>
    <t xml:space="preserve">Valor Financeiro de Emissão</t>
  </si>
  <si>
    <t xml:space="preserve">0,00050%</t>
  </si>
  <si>
    <t xml:space="preserve">Sobre valor de emissão</t>
  </si>
  <si>
    <t xml:space="preserve">Taxa de Permanência</t>
  </si>
  <si>
    <t xml:space="preserve">Vol. financeiro atualizado (último DU do mês)</t>
  </si>
  <si>
    <t xml:space="preserve">Taxa de Transação</t>
  </si>
  <si>
    <t xml:space="preserve">Qtd. operações finalizadas no mês</t>
  </si>
  <si>
    <t xml:space="preserve">R$ 0,00</t>
  </si>
  <si>
    <t xml:space="preserve">Isento</t>
  </si>
  <si>
    <t xml:space="preserve">CSD BR — VALORES MOBILIÁRIOS (NDF)</t>
  </si>
  <si>
    <t xml:space="preserve">Registro</t>
  </si>
  <si>
    <t xml:space="preserve">Permanência</t>
  </si>
  <si>
    <t xml:space="preserve">Taxa %</t>
  </si>
  <si>
    <t xml:space="preserve">0,0002%</t>
  </si>
  <si>
    <t xml:space="preserve">0,0004%</t>
  </si>
  <si>
    <t xml:space="preserve">R$ 1,76</t>
  </si>
  <si>
    <t xml:space="preserve">R$ 3,55</t>
  </si>
  <si>
    <t xml:space="preserve">Máximo</t>
  </si>
  <si>
    <t xml:space="preserve">R$ 888,45</t>
  </si>
  <si>
    <t xml:space="preserve">R$ 1.776,92</t>
  </si>
  <si>
    <t xml:space="preserve">CSD BR — VALORES MOBILIÁRIOS (SWAP)</t>
  </si>
  <si>
    <t xml:space="preserve">R$ 1,00</t>
  </si>
  <si>
    <t xml:space="preserve">R$ 2,00</t>
  </si>
  <si>
    <t xml:space="preserve">R$ 2.490,00</t>
  </si>
  <si>
    <t xml:space="preserve">R$ 949,00</t>
  </si>
  <si>
    <t xml:space="preserve">CSD BR — ÔNUS E GRAVAMES SOBRE ATIVOS</t>
  </si>
  <si>
    <t xml:space="preserve">Registro (Derivativos e Ativos Financeiros)</t>
  </si>
  <si>
    <t xml:space="preserve">0,02%</t>
  </si>
  <si>
    <t xml:space="preserve">R$ 100,00</t>
  </si>
  <si>
    <t xml:space="preserve">R$ 14.000,00</t>
  </si>
  <si>
    <t xml:space="preserve">CSD BR — MANUTENÇÃO DE ACESSO À PLATAFORMA</t>
  </si>
  <si>
    <t xml:space="preserve">Manutenção de Acesso</t>
  </si>
  <si>
    <t xml:space="preserve">R$ 1.000,00</t>
  </si>
  <si>
    <t xml:space="preserve">Por participante</t>
  </si>
  <si>
    <t xml:space="preserve">Fonte: Tabela Geral de Emolumentos — CSD BR Registradora (v9.0, 15/04/2024) | www.csdbr.com</t>
  </si>
  <si>
    <t xml:space="preserve">Nota: Tarifas sujeitas a incentivo mediante deliberação interna da CSD BR (switching costs).</t>
  </si>
  <si>
    <t xml:space="preserve">CALCULADORA DE EMISSÃO DE NC — LAQUS</t>
  </si>
  <si>
    <t xml:space="preserve">DADOS DA OPERAÇÃO</t>
  </si>
  <si>
    <t xml:space="preserve">Volume da Emissão (R$):</t>
  </si>
  <si>
    <t xml:space="preserve">← Insira o valor aqui</t>
  </si>
  <si>
    <t xml:space="preserve">RESULTADOS</t>
  </si>
  <si>
    <t xml:space="preserve">Faixa Identificada:</t>
  </si>
  <si>
    <t xml:space="preserve">Taxa Aplicável:</t>
  </si>
  <si>
    <t xml:space="preserve">Custo Escrituração + Depósito:</t>
  </si>
  <si>
    <t xml:space="preserve">Custódia / mês:</t>
  </si>
  <si>
    <t xml:space="preserve">Custo Total Estimado (12 meses):</t>
  </si>
  <si>
    <t xml:space="preserve">% sobre Volume:</t>
  </si>
  <si>
    <t xml:space="preserve">TABELA DE REFERÊNCIA — CUSTO POR EMISSÃO FLAT</t>
  </si>
  <si>
    <t xml:space="preserve">Faixa</t>
  </si>
  <si>
    <t xml:space="preserve">De (R$)</t>
  </si>
  <si>
    <t xml:space="preserve">Até (R$)</t>
  </si>
  <si>
    <t xml:space="preserve">-</t>
  </si>
  <si>
    <t xml:space="preserve">0,1500%</t>
  </si>
  <si>
    <t xml:space="preserve">0,1200%</t>
  </si>
  <si>
    <t xml:space="preserve">0,1100%</t>
  </si>
  <si>
    <t xml:space="preserve">0,0900%</t>
  </si>
  <si>
    <t xml:space="preserve">0,0660%</t>
  </si>
  <si>
    <t xml:space="preserve">0,0490%</t>
  </si>
  <si>
    <t xml:space="preserve">R$ 500,00</t>
  </si>
  <si>
    <t xml:space="preserve">Fonte: Proposta Laqus — Maria Claudia Prado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</si>
</sst>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&quot;R$ &quot;#,##0;&quot;(R$ &quot;#,##0\);\-"/>
    <numFmt numFmtId="166" formatCode="0"/>
    <numFmt numFmtId="167" formatCode="0.00%;\-0.00%;\-"/>
    <numFmt numFmtId="168" formatCode="0.0000%;\-0.0000%;\-"/>
    <numFmt numFmtId="169" formatCode="0.0"/>
    <numFmt numFmtId="170" formatCode="#,##0.00"/>
    <numFmt numFmtId="171" formatCode="General"/>
    <numFmt numFmtId="172" formatCode="0.0000%"/>
    <numFmt numFmtId="173" formatCode="&quot;R$ &quot;#,##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3387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B3A5C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8"/>
      <color rgb="FF8B4513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3"/>
      <color rgb="FF1B5E20"/>
      <name val="Arial"/>
      <family val="0"/>
      <charset val="1"/>
    </font>
    <font>
      <b val="true"/>
      <sz val="14"/>
      <color rgb="FF1B5E20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4"/>
      <color rgb="FFB71C1C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33873"/>
        <bgColor rgb="FF1B3A5C"/>
      </patternFill>
    </fill>
    <fill>
      <patternFill patternType="solid">
        <fgColor rgb="FFFCE4D6"/>
        <bgColor rgb="FFFFEBEE"/>
      </patternFill>
    </fill>
    <fill>
      <patternFill patternType="solid">
        <fgColor rgb="FFFFFFFF"/>
        <bgColor rgb="FFF1F8E9"/>
      </patternFill>
    </fill>
    <fill>
      <patternFill patternType="solid">
        <fgColor rgb="FFF2F2F2"/>
        <bgColor rgb="FFF1F8E9"/>
      </patternFill>
    </fill>
    <fill>
      <patternFill patternType="solid">
        <fgColor rgb="FFE2EFDA"/>
        <bgColor rgb="FFE8F5E9"/>
      </patternFill>
    </fill>
    <fill>
      <patternFill patternType="solid">
        <fgColor rgb="FFE2D9F3"/>
        <bgColor rgb="FFD9E1F2"/>
      </patternFill>
    </fill>
    <fill>
      <patternFill patternType="solid">
        <fgColor rgb="FFD9E1F2"/>
        <bgColor rgb="FFE2D9F3"/>
      </patternFill>
    </fill>
    <fill>
      <patternFill patternType="solid">
        <fgColor rgb="FFFFFF00"/>
        <bgColor rgb="FFFFFF00"/>
      </patternFill>
    </fill>
    <fill>
      <patternFill patternType="solid">
        <fgColor rgb="FFD9F0F0"/>
        <bgColor rgb="FFE2EFDA"/>
      </patternFill>
    </fill>
    <fill>
      <patternFill patternType="solid">
        <fgColor rgb="FF2E5E8E"/>
        <bgColor rgb="FF333399"/>
      </patternFill>
    </fill>
    <fill>
      <patternFill patternType="solid">
        <fgColor rgb="FF4CAF50"/>
        <bgColor rgb="FF2E7D32"/>
      </patternFill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FFF9C4"/>
        <bgColor rgb="FFF1F8E9"/>
      </patternFill>
    </fill>
    <fill>
      <patternFill patternType="solid">
        <fgColor rgb="FFE8F5E9"/>
        <bgColor rgb="FFF1F8E9"/>
      </patternFill>
    </fill>
    <fill>
      <patternFill patternType="solid">
        <fgColor rgb="FFFFEBEE"/>
        <bgColor rgb="FFF2F2F2"/>
      </patternFill>
    </fill>
    <fill>
      <patternFill patternType="solid">
        <fgColor rgb="FFF1F8E9"/>
        <bgColor rgb="FFE8F5E9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/>
      <top style="thin">
        <color rgb="FFB0B0B0"/>
      </top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/>
      <right/>
      <top style="thin">
        <color rgb="FFB0B0B0"/>
      </top>
      <bottom style="thin">
        <color rgb="FFB0B0B0"/>
      </bottom>
      <diagonal/>
    </border>
    <border diagonalUp="false" diagonalDown="false">
      <left/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1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3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5" fillId="1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5" fillId="1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6" fillId="1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5" fillId="1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8" fillId="1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9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9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CCCCC"/>
      <rgbColor rgb="FF808080"/>
      <rgbColor rgb="FFB0B0B0"/>
      <rgbColor rgb="FFB71C1C"/>
      <rgbColor rgb="FFFFF9C4"/>
      <rgbColor rgb="FFD9F0F0"/>
      <rgbColor rgb="FF660066"/>
      <rgbColor rgb="FFFF8080"/>
      <rgbColor rgb="FF2E5E8E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1F8E9"/>
      <rgbColor rgb="FFD9E1F2"/>
      <rgbColor rgb="FFFFEBEE"/>
      <rgbColor rgb="FFF2F2F2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888888"/>
      <rgbColor rgb="FF033873"/>
      <rgbColor rgb="FF4CAF50"/>
      <rgbColor rgb="FF003300"/>
      <rgbColor rgb="FF1B5E20"/>
      <rgbColor rgb="FF8B4513"/>
      <rgbColor rgb="FF993366"/>
      <rgbColor rgb="FF333399"/>
      <rgbColor rgb="FF1B3A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7" activeCellId="0" sqref="L1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4" min="3" style="1" width="13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9" min="8" style="1" width="14"/>
    <col collapsed="false" customWidth="true" hidden="false" outlineLevel="0" max="10" min="10" style="1" width="3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customFormat="false" ht="18" hidden="false" customHeight="true" outlineLevel="0" collapsed="false">
      <c r="A4" s="4" t="s">
        <v>11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8" hidden="false" customHeight="true" outlineLevel="0" collapsed="false">
      <c r="A5" s="5" t="s">
        <v>12</v>
      </c>
      <c r="B5" s="6" t="s">
        <v>13</v>
      </c>
      <c r="C5" s="7" t="s">
        <v>14</v>
      </c>
      <c r="D5" s="7" t="s">
        <v>14</v>
      </c>
      <c r="E5" s="7" t="s">
        <v>15</v>
      </c>
      <c r="F5" s="7" t="s">
        <v>16</v>
      </c>
      <c r="G5" s="7" t="s">
        <v>14</v>
      </c>
      <c r="H5" s="7" t="s">
        <v>17</v>
      </c>
      <c r="I5" s="7" t="s">
        <v>18</v>
      </c>
      <c r="J5" s="8" t="s">
        <v>19</v>
      </c>
    </row>
    <row r="6" customFormat="false" ht="18" hidden="false" customHeight="true" outlineLevel="0" collapsed="false">
      <c r="A6" s="9" t="s">
        <v>20</v>
      </c>
      <c r="B6" s="10" t="s">
        <v>21</v>
      </c>
      <c r="C6" s="11" t="s">
        <v>22</v>
      </c>
      <c r="D6" s="11" t="s">
        <v>22</v>
      </c>
      <c r="E6" s="11" t="s">
        <v>23</v>
      </c>
      <c r="F6" s="11" t="s">
        <v>24</v>
      </c>
      <c r="G6" s="11" t="s">
        <v>23</v>
      </c>
      <c r="H6" s="11" t="s">
        <v>17</v>
      </c>
      <c r="I6" s="11" t="s">
        <v>25</v>
      </c>
      <c r="J6" s="12" t="s">
        <v>26</v>
      </c>
    </row>
    <row r="7" customFormat="false" ht="18" hidden="false" customHeight="true" outlineLevel="0" collapsed="false">
      <c r="A7" s="5" t="s">
        <v>27</v>
      </c>
      <c r="B7" s="6" t="s">
        <v>28</v>
      </c>
      <c r="C7" s="7" t="s">
        <v>29</v>
      </c>
      <c r="D7" s="7" t="s">
        <v>29</v>
      </c>
      <c r="E7" s="7" t="s">
        <v>23</v>
      </c>
      <c r="F7" s="7" t="s">
        <v>23</v>
      </c>
      <c r="G7" s="7" t="s">
        <v>23</v>
      </c>
      <c r="H7" s="7" t="s">
        <v>17</v>
      </c>
      <c r="I7" s="7" t="s">
        <v>25</v>
      </c>
      <c r="J7" s="8" t="s">
        <v>30</v>
      </c>
    </row>
    <row r="8" customFormat="false" ht="18" hidden="false" customHeight="true" outlineLevel="0" collapsed="false">
      <c r="A8" s="9" t="s">
        <v>31</v>
      </c>
      <c r="B8" s="10" t="s">
        <v>32</v>
      </c>
      <c r="C8" s="11" t="s">
        <v>33</v>
      </c>
      <c r="D8" s="11" t="s">
        <v>33</v>
      </c>
      <c r="E8" s="11" t="s">
        <v>33</v>
      </c>
      <c r="F8" s="11" t="s">
        <v>34</v>
      </c>
      <c r="G8" s="11" t="s">
        <v>23</v>
      </c>
      <c r="H8" s="11" t="s">
        <v>35</v>
      </c>
      <c r="I8" s="11" t="s">
        <v>18</v>
      </c>
      <c r="J8" s="12" t="s">
        <v>36</v>
      </c>
    </row>
    <row r="9" customFormat="false" ht="18" hidden="false" customHeight="true" outlineLevel="0" collapsed="false">
      <c r="A9" s="13" t="s">
        <v>37</v>
      </c>
      <c r="B9" s="13"/>
      <c r="C9" s="13"/>
      <c r="D9" s="13"/>
      <c r="E9" s="13"/>
      <c r="F9" s="13"/>
      <c r="G9" s="13"/>
      <c r="H9" s="13"/>
      <c r="I9" s="13"/>
      <c r="J9" s="13"/>
    </row>
    <row r="10" customFormat="false" ht="18" hidden="false" customHeight="true" outlineLevel="0" collapsed="false">
      <c r="A10" s="9" t="s">
        <v>38</v>
      </c>
      <c r="B10" s="10" t="s">
        <v>39</v>
      </c>
      <c r="C10" s="11" t="s">
        <v>40</v>
      </c>
      <c r="D10" s="11" t="s">
        <v>40</v>
      </c>
      <c r="E10" s="11" t="s">
        <v>41</v>
      </c>
      <c r="F10" s="11" t="s">
        <v>42</v>
      </c>
      <c r="G10" s="11" t="s">
        <v>40</v>
      </c>
      <c r="H10" s="11" t="s">
        <v>43</v>
      </c>
      <c r="I10" s="11" t="s">
        <v>25</v>
      </c>
      <c r="J10" s="12" t="s">
        <v>44</v>
      </c>
    </row>
    <row r="11" customFormat="false" ht="18" hidden="false" customHeight="true" outlineLevel="0" collapsed="false">
      <c r="A11" s="5" t="s">
        <v>45</v>
      </c>
      <c r="B11" s="6" t="s">
        <v>46</v>
      </c>
      <c r="C11" s="7" t="s">
        <v>47</v>
      </c>
      <c r="D11" s="7" t="s">
        <v>47</v>
      </c>
      <c r="E11" s="7" t="s">
        <v>48</v>
      </c>
      <c r="F11" s="7" t="s">
        <v>49</v>
      </c>
      <c r="G11" s="7" t="s">
        <v>23</v>
      </c>
      <c r="H11" s="7" t="s">
        <v>43</v>
      </c>
      <c r="I11" s="7" t="s">
        <v>25</v>
      </c>
      <c r="J11" s="8" t="s">
        <v>50</v>
      </c>
    </row>
    <row r="12" customFormat="false" ht="18" hidden="false" customHeight="true" outlineLevel="0" collapsed="false">
      <c r="A12" s="9" t="s">
        <v>51</v>
      </c>
      <c r="B12" s="10" t="s">
        <v>52</v>
      </c>
      <c r="C12" s="11" t="s">
        <v>53</v>
      </c>
      <c r="D12" s="11" t="s">
        <v>53</v>
      </c>
      <c r="E12" s="11" t="s">
        <v>23</v>
      </c>
      <c r="F12" s="11" t="s">
        <v>49</v>
      </c>
      <c r="G12" s="11" t="s">
        <v>53</v>
      </c>
      <c r="H12" s="11" t="s">
        <v>35</v>
      </c>
      <c r="I12" s="11" t="s">
        <v>18</v>
      </c>
      <c r="J12" s="12" t="s">
        <v>54</v>
      </c>
    </row>
    <row r="13" customFormat="false" ht="18" hidden="false" customHeight="true" outlineLevel="0" collapsed="false">
      <c r="A13" s="5" t="s">
        <v>55</v>
      </c>
      <c r="B13" s="6" t="s">
        <v>56</v>
      </c>
      <c r="C13" s="7" t="s">
        <v>57</v>
      </c>
      <c r="D13" s="7" t="s">
        <v>57</v>
      </c>
      <c r="E13" s="7" t="s">
        <v>23</v>
      </c>
      <c r="F13" s="7" t="s">
        <v>57</v>
      </c>
      <c r="G13" s="7" t="s">
        <v>33</v>
      </c>
      <c r="H13" s="7" t="s">
        <v>35</v>
      </c>
      <c r="I13" s="7" t="s">
        <v>25</v>
      </c>
      <c r="J13" s="8" t="s">
        <v>58</v>
      </c>
    </row>
    <row r="14" customFormat="false" ht="18" hidden="false" customHeight="true" outlineLevel="0" collapsed="false">
      <c r="A14" s="9" t="s">
        <v>59</v>
      </c>
      <c r="B14" s="10" t="s">
        <v>60</v>
      </c>
      <c r="C14" s="11" t="s">
        <v>23</v>
      </c>
      <c r="D14" s="11" t="s">
        <v>23</v>
      </c>
      <c r="E14" s="11" t="s">
        <v>61</v>
      </c>
      <c r="F14" s="11" t="s">
        <v>23</v>
      </c>
      <c r="G14" s="11" t="s">
        <v>23</v>
      </c>
      <c r="H14" s="11" t="s">
        <v>43</v>
      </c>
      <c r="I14" s="11" t="s">
        <v>5</v>
      </c>
      <c r="J14" s="12" t="s">
        <v>62</v>
      </c>
    </row>
    <row r="15" customFormat="false" ht="18" hidden="false" customHeight="true" outlineLevel="0" collapsed="false">
      <c r="A15" s="5" t="s">
        <v>63</v>
      </c>
      <c r="B15" s="6" t="s">
        <v>64</v>
      </c>
      <c r="C15" s="7" t="s">
        <v>23</v>
      </c>
      <c r="D15" s="7" t="s">
        <v>23</v>
      </c>
      <c r="E15" s="7" t="s">
        <v>65</v>
      </c>
      <c r="F15" s="7" t="s">
        <v>23</v>
      </c>
      <c r="G15" s="7" t="s">
        <v>23</v>
      </c>
      <c r="H15" s="7" t="s">
        <v>43</v>
      </c>
      <c r="I15" s="7" t="s">
        <v>5</v>
      </c>
      <c r="J15" s="8" t="s">
        <v>66</v>
      </c>
    </row>
    <row r="16" customFormat="false" ht="18" hidden="false" customHeight="true" outlineLevel="0" collapsed="false">
      <c r="A16" s="9" t="s">
        <v>67</v>
      </c>
      <c r="B16" s="10" t="s">
        <v>68</v>
      </c>
      <c r="C16" s="11" t="s">
        <v>23</v>
      </c>
      <c r="D16" s="11" t="s">
        <v>23</v>
      </c>
      <c r="E16" s="11" t="s">
        <v>69</v>
      </c>
      <c r="F16" s="11" t="s">
        <v>70</v>
      </c>
      <c r="G16" s="11" t="s">
        <v>23</v>
      </c>
      <c r="H16" s="11" t="s">
        <v>35</v>
      </c>
      <c r="I16" s="11" t="s">
        <v>25</v>
      </c>
      <c r="J16" s="12" t="s">
        <v>71</v>
      </c>
    </row>
    <row r="17" customFormat="false" ht="18" hidden="false" customHeight="true" outlineLevel="0" collapsed="false">
      <c r="A17" s="5" t="s">
        <v>72</v>
      </c>
      <c r="B17" s="6" t="s">
        <v>73</v>
      </c>
      <c r="C17" s="7" t="s">
        <v>23</v>
      </c>
      <c r="D17" s="7" t="s">
        <v>23</v>
      </c>
      <c r="E17" s="7" t="s">
        <v>74</v>
      </c>
      <c r="F17" s="7" t="s">
        <v>29</v>
      </c>
      <c r="G17" s="7" t="s">
        <v>23</v>
      </c>
      <c r="H17" s="7" t="s">
        <v>75</v>
      </c>
      <c r="I17" s="7" t="s">
        <v>25</v>
      </c>
      <c r="J17" s="8" t="s">
        <v>76</v>
      </c>
    </row>
    <row r="18" customFormat="false" ht="18" hidden="false" customHeight="true" outlineLevel="0" collapsed="false">
      <c r="A18" s="9" t="s">
        <v>77</v>
      </c>
      <c r="B18" s="10" t="s">
        <v>78</v>
      </c>
      <c r="C18" s="11" t="s">
        <v>79</v>
      </c>
      <c r="D18" s="11" t="s">
        <v>79</v>
      </c>
      <c r="E18" s="11" t="s">
        <v>65</v>
      </c>
      <c r="F18" s="11" t="s">
        <v>29</v>
      </c>
      <c r="G18" s="11" t="s">
        <v>23</v>
      </c>
      <c r="H18" s="11" t="s">
        <v>43</v>
      </c>
      <c r="I18" s="11" t="s">
        <v>25</v>
      </c>
      <c r="J18" s="12" t="s">
        <v>80</v>
      </c>
    </row>
    <row r="19" customFormat="false" ht="18" hidden="false" customHeight="true" outlineLevel="0" collapsed="false">
      <c r="A19" s="5" t="s">
        <v>81</v>
      </c>
      <c r="B19" s="6" t="s">
        <v>13</v>
      </c>
      <c r="C19" s="7" t="s">
        <v>82</v>
      </c>
      <c r="D19" s="7" t="s">
        <v>82</v>
      </c>
      <c r="E19" s="7" t="s">
        <v>23</v>
      </c>
      <c r="F19" s="7" t="s">
        <v>23</v>
      </c>
      <c r="G19" s="7" t="s">
        <v>82</v>
      </c>
      <c r="H19" s="7" t="s">
        <v>83</v>
      </c>
      <c r="I19" s="7" t="s">
        <v>25</v>
      </c>
      <c r="J19" s="8" t="s">
        <v>84</v>
      </c>
    </row>
    <row r="20" customFormat="false" ht="18" hidden="false" customHeight="true" outlineLevel="0" collapsed="false">
      <c r="A20" s="14" t="s">
        <v>85</v>
      </c>
      <c r="B20" s="14"/>
      <c r="C20" s="14"/>
      <c r="D20" s="14"/>
      <c r="E20" s="14"/>
      <c r="F20" s="14"/>
      <c r="G20" s="14"/>
      <c r="H20" s="14"/>
      <c r="I20" s="14"/>
      <c r="J20" s="14"/>
    </row>
    <row r="21" customFormat="false" ht="18" hidden="false" customHeight="true" outlineLevel="0" collapsed="false">
      <c r="A21" s="15" t="s">
        <v>86</v>
      </c>
      <c r="B21" s="16"/>
      <c r="C21" s="16"/>
      <c r="D21" s="16"/>
      <c r="E21" s="16"/>
      <c r="F21" s="16"/>
      <c r="G21" s="16"/>
      <c r="H21" s="16"/>
      <c r="I21" s="16"/>
      <c r="J21" s="17"/>
    </row>
    <row r="22" customFormat="false" ht="18" hidden="false" customHeight="true" outlineLevel="0" collapsed="false">
      <c r="A22" s="5" t="s">
        <v>87</v>
      </c>
      <c r="B22" s="6" t="s">
        <v>88</v>
      </c>
      <c r="C22" s="7" t="s">
        <v>89</v>
      </c>
      <c r="D22" s="7" t="s">
        <v>89</v>
      </c>
      <c r="E22" s="7" t="s">
        <v>89</v>
      </c>
      <c r="F22" s="7" t="s">
        <v>89</v>
      </c>
      <c r="G22" s="7" t="s">
        <v>89</v>
      </c>
      <c r="H22" s="7" t="s">
        <v>90</v>
      </c>
      <c r="I22" s="7" t="s">
        <v>18</v>
      </c>
      <c r="J22" s="8" t="s">
        <v>91</v>
      </c>
    </row>
    <row r="23" customFormat="false" ht="18" hidden="false" customHeight="true" outlineLevel="0" collapsed="false">
      <c r="A23" s="9" t="s">
        <v>92</v>
      </c>
      <c r="B23" s="10" t="s">
        <v>93</v>
      </c>
      <c r="C23" s="11" t="s">
        <v>94</v>
      </c>
      <c r="D23" s="11" t="s">
        <v>94</v>
      </c>
      <c r="E23" s="11" t="s">
        <v>23</v>
      </c>
      <c r="F23" s="11" t="s">
        <v>94</v>
      </c>
      <c r="G23" s="11" t="s">
        <v>23</v>
      </c>
      <c r="H23" s="11" t="s">
        <v>17</v>
      </c>
      <c r="I23" s="11" t="s">
        <v>25</v>
      </c>
      <c r="J23" s="12" t="s">
        <v>95</v>
      </c>
    </row>
    <row r="24" customFormat="false" ht="14.25" hidden="false" customHeight="true" outlineLevel="0" collapsed="false">
      <c r="A24" s="5" t="s">
        <v>96</v>
      </c>
      <c r="B24" s="6" t="s">
        <v>97</v>
      </c>
      <c r="C24" s="7" t="s">
        <v>29</v>
      </c>
      <c r="D24" s="7" t="s">
        <v>29</v>
      </c>
      <c r="E24" s="7" t="s">
        <v>23</v>
      </c>
      <c r="F24" s="7" t="s">
        <v>29</v>
      </c>
      <c r="G24" s="7" t="s">
        <v>23</v>
      </c>
      <c r="H24" s="7" t="s">
        <v>17</v>
      </c>
      <c r="I24" s="7" t="s">
        <v>25</v>
      </c>
      <c r="J24" s="8" t="s">
        <v>98</v>
      </c>
    </row>
    <row r="25" customFormat="false" ht="14.25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customFormat="false" ht="14.25" hidden="false" customHeight="true" outlineLevel="0" collapsed="false">
      <c r="A26" s="18" t="s">
        <v>99</v>
      </c>
    </row>
  </sheetData>
  <mergeCells count="5">
    <mergeCell ref="A1:K2"/>
    <mergeCell ref="A4:J4"/>
    <mergeCell ref="A9:J9"/>
    <mergeCell ref="A20:J20"/>
    <mergeCell ref="A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2" activeCellId="0" sqref="M2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6" min="5" style="1" width="16"/>
    <col collapsed="false" customWidth="true" hidden="false" outlineLevel="0" max="7" min="7" style="1" width="15"/>
    <col collapsed="false" customWidth="true" hidden="false" outlineLevel="0" max="8" min="8" style="1" width="16"/>
  </cols>
  <sheetData>
    <row r="1" customFormat="false" ht="14.25" hidden="false" customHeight="true" outlineLevel="0" collapsed="false">
      <c r="A1" s="19" t="s">
        <v>100</v>
      </c>
      <c r="B1" s="19"/>
      <c r="C1" s="19"/>
      <c r="D1" s="19"/>
      <c r="E1" s="19"/>
      <c r="F1" s="19"/>
      <c r="G1" s="19"/>
      <c r="H1" s="19"/>
    </row>
    <row r="2" customFormat="false" ht="14.25" hidden="false" customHeight="true" outlineLevel="0" collapsed="false">
      <c r="A2" s="19"/>
      <c r="B2" s="19"/>
      <c r="C2" s="19"/>
      <c r="D2" s="19"/>
      <c r="E2" s="19"/>
      <c r="F2" s="19"/>
      <c r="G2" s="19"/>
      <c r="H2" s="19"/>
    </row>
    <row r="3" customFormat="false" ht="14.25" hidden="false" customHeight="true" outlineLevel="0" collapsed="false">
      <c r="A3" s="20" t="s">
        <v>101</v>
      </c>
      <c r="B3" s="20"/>
      <c r="C3" s="20"/>
      <c r="D3" s="20"/>
      <c r="E3" s="20"/>
      <c r="F3" s="20"/>
      <c r="G3" s="20"/>
      <c r="H3" s="20"/>
    </row>
    <row r="4" customFormat="false" ht="14.25" hidden="false" customHeight="true" outlineLevel="0" collapsed="false">
      <c r="A4" s="10" t="s">
        <v>102</v>
      </c>
      <c r="B4" s="21" t="n">
        <v>20000000</v>
      </c>
      <c r="C4" s="22" t="s">
        <v>103</v>
      </c>
      <c r="D4" s="22"/>
      <c r="E4" s="22"/>
      <c r="F4" s="22"/>
      <c r="G4" s="22"/>
      <c r="H4" s="22"/>
    </row>
    <row r="5" customFormat="false" ht="14.25" hidden="false" customHeight="true" outlineLevel="0" collapsed="false">
      <c r="A5" s="10" t="s">
        <v>104</v>
      </c>
      <c r="B5" s="23" t="n">
        <v>60</v>
      </c>
      <c r="C5" s="22" t="s">
        <v>103</v>
      </c>
      <c r="D5" s="22"/>
      <c r="E5" s="22"/>
      <c r="F5" s="22"/>
      <c r="G5" s="22"/>
      <c r="H5" s="22"/>
    </row>
    <row r="6" customFormat="false" ht="14.25" hidden="false" customHeight="true" outlineLevel="0" collapsed="false">
      <c r="A6" s="10" t="s">
        <v>105</v>
      </c>
      <c r="B6" s="24" t="n">
        <v>0.03</v>
      </c>
      <c r="C6" s="22" t="s">
        <v>103</v>
      </c>
      <c r="D6" s="22"/>
      <c r="E6" s="22"/>
      <c r="F6" s="22"/>
      <c r="G6" s="22"/>
      <c r="H6" s="22"/>
    </row>
    <row r="8" customFormat="false" ht="14.25" hidden="false" customHeight="true" outlineLevel="0" collapsed="false">
      <c r="A8" s="3" t="s">
        <v>106</v>
      </c>
      <c r="B8" s="3" t="s">
        <v>2</v>
      </c>
      <c r="C8" s="3" t="s">
        <v>107</v>
      </c>
      <c r="D8" s="3" t="s">
        <v>108</v>
      </c>
      <c r="E8" s="3" t="s">
        <v>109</v>
      </c>
      <c r="F8" s="3" t="s">
        <v>110</v>
      </c>
      <c r="G8" s="3" t="s">
        <v>8</v>
      </c>
      <c r="H8" s="3" t="s">
        <v>9</v>
      </c>
    </row>
    <row r="9" customFormat="false" ht="14.25" hidden="false" customHeight="true" outlineLevel="0" collapsed="false">
      <c r="A9" s="4" t="s">
        <v>111</v>
      </c>
      <c r="B9" s="4"/>
      <c r="C9" s="4"/>
      <c r="D9" s="4"/>
      <c r="E9" s="4"/>
      <c r="F9" s="4"/>
      <c r="G9" s="4"/>
      <c r="H9" s="4"/>
    </row>
    <row r="10" customFormat="false" ht="26.25" hidden="false" customHeight="true" outlineLevel="0" collapsed="false">
      <c r="A10" s="10" t="s">
        <v>112</v>
      </c>
      <c r="B10" s="11" t="s">
        <v>113</v>
      </c>
      <c r="C10" s="24" t="n">
        <v>0.0007</v>
      </c>
      <c r="D10" s="11" t="s">
        <v>114</v>
      </c>
      <c r="E10" s="11"/>
      <c r="F10" s="25" t="n">
        <f aca="false">C10*$B$4</f>
        <v>14000</v>
      </c>
      <c r="G10" s="11" t="s">
        <v>35</v>
      </c>
      <c r="H10" s="12" t="s">
        <v>18</v>
      </c>
    </row>
    <row r="11" customFormat="false" ht="26.25" hidden="false" customHeight="true" outlineLevel="0" collapsed="false">
      <c r="A11" s="6" t="s">
        <v>115</v>
      </c>
      <c r="B11" s="7" t="s">
        <v>21</v>
      </c>
      <c r="C11" s="7" t="s">
        <v>22</v>
      </c>
      <c r="D11" s="7" t="s">
        <v>116</v>
      </c>
      <c r="E11" s="21" t="n">
        <v>0</v>
      </c>
      <c r="F11" s="26" t="n">
        <f aca="false">E11</f>
        <v>0</v>
      </c>
      <c r="G11" s="7" t="s">
        <v>17</v>
      </c>
      <c r="H11" s="8" t="s">
        <v>117</v>
      </c>
    </row>
    <row r="12" customFormat="false" ht="26.25" hidden="false" customHeight="true" outlineLevel="0" collapsed="false">
      <c r="A12" s="10" t="s">
        <v>118</v>
      </c>
      <c r="B12" s="11" t="s">
        <v>21</v>
      </c>
      <c r="C12" s="27" t="n">
        <v>8E-006</v>
      </c>
      <c r="D12" s="28" t="n">
        <f aca="false">$B$5</f>
        <v>60</v>
      </c>
      <c r="E12" s="11"/>
      <c r="F12" s="25" t="n">
        <f aca="false">C12*$B$4*$B$5/12</f>
        <v>800</v>
      </c>
      <c r="G12" s="11" t="s">
        <v>43</v>
      </c>
      <c r="H12" s="12" t="s">
        <v>117</v>
      </c>
    </row>
    <row r="13" customFormat="false" ht="14.25" hidden="false" customHeight="true" outlineLevel="0" collapsed="false">
      <c r="A13" s="20" t="s">
        <v>119</v>
      </c>
      <c r="B13" s="20"/>
      <c r="C13" s="20"/>
      <c r="D13" s="20"/>
      <c r="E13" s="20"/>
      <c r="F13" s="20"/>
      <c r="G13" s="20"/>
      <c r="H13" s="20"/>
    </row>
    <row r="14" customFormat="false" ht="14.25" hidden="false" customHeight="true" outlineLevel="0" collapsed="false">
      <c r="A14" s="10" t="s">
        <v>120</v>
      </c>
      <c r="B14" s="11" t="s">
        <v>121</v>
      </c>
      <c r="C14" s="11" t="s">
        <v>122</v>
      </c>
      <c r="D14" s="11" t="s">
        <v>116</v>
      </c>
      <c r="E14" s="21" t="n">
        <v>30000</v>
      </c>
      <c r="F14" s="25" t="n">
        <f aca="false">E14</f>
        <v>30000</v>
      </c>
      <c r="G14" s="11" t="s">
        <v>17</v>
      </c>
      <c r="H14" s="12" t="s">
        <v>18</v>
      </c>
    </row>
    <row r="15" customFormat="false" ht="26.25" hidden="false" customHeight="true" outlineLevel="0" collapsed="false">
      <c r="A15" s="6" t="s">
        <v>123</v>
      </c>
      <c r="B15" s="7" t="s">
        <v>121</v>
      </c>
      <c r="C15" s="7" t="s">
        <v>124</v>
      </c>
      <c r="D15" s="29" t="n">
        <f aca="false">$B$5</f>
        <v>60</v>
      </c>
      <c r="E15" s="21" t="n">
        <v>3000</v>
      </c>
      <c r="F15" s="26" t="n">
        <f aca="false">IF(ISNUMBER(D15),E15*D15,E15)</f>
        <v>180000</v>
      </c>
      <c r="G15" s="7" t="s">
        <v>43</v>
      </c>
      <c r="H15" s="8" t="s">
        <v>117</v>
      </c>
    </row>
    <row r="16" customFormat="false" ht="26.25" hidden="false" customHeight="true" outlineLevel="0" collapsed="false">
      <c r="A16" s="10" t="s">
        <v>125</v>
      </c>
      <c r="B16" s="11" t="s">
        <v>121</v>
      </c>
      <c r="C16" s="11" t="s">
        <v>126</v>
      </c>
      <c r="D16" s="23" t="n">
        <v>0</v>
      </c>
      <c r="E16" s="21" t="n">
        <v>500</v>
      </c>
      <c r="F16" s="25" t="n">
        <f aca="false">IF(ISNUMBER(D16),E16*D16,E16)</f>
        <v>0</v>
      </c>
      <c r="G16" s="11" t="s">
        <v>83</v>
      </c>
      <c r="H16" s="12" t="s">
        <v>117</v>
      </c>
    </row>
    <row r="17" customFormat="false" ht="14.25" hidden="false" customHeight="true" outlineLevel="0" collapsed="false">
      <c r="A17" s="13" t="s">
        <v>127</v>
      </c>
      <c r="B17" s="13"/>
      <c r="C17" s="13"/>
      <c r="D17" s="13"/>
      <c r="E17" s="13"/>
      <c r="F17" s="13"/>
      <c r="G17" s="13"/>
      <c r="H17" s="13"/>
    </row>
    <row r="18" customFormat="false" ht="26.25" hidden="false" customHeight="true" outlineLevel="0" collapsed="false">
      <c r="A18" s="10" t="s">
        <v>128</v>
      </c>
      <c r="B18" s="11" t="s">
        <v>55</v>
      </c>
      <c r="C18" s="11" t="s">
        <v>129</v>
      </c>
      <c r="D18" s="30" t="n">
        <f aca="false">ROUND($B$5/12,1)</f>
        <v>5</v>
      </c>
      <c r="E18" s="21" t="n">
        <v>20000</v>
      </c>
      <c r="F18" s="25" t="n">
        <f aca="false">IF(ISNUMBER(D18),E18*D18,E18)</f>
        <v>100000</v>
      </c>
      <c r="G18" s="11" t="s">
        <v>35</v>
      </c>
      <c r="H18" s="12" t="s">
        <v>117</v>
      </c>
    </row>
    <row r="19" customFormat="false" ht="14.25" hidden="false" customHeight="true" outlineLevel="0" collapsed="false">
      <c r="A19" s="6" t="s">
        <v>130</v>
      </c>
      <c r="B19" s="7" t="s">
        <v>55</v>
      </c>
      <c r="C19" s="7" t="s">
        <v>129</v>
      </c>
      <c r="D19" s="31" t="n">
        <f aca="false">ROUND($B$5/12,1)</f>
        <v>5</v>
      </c>
      <c r="E19" s="21" t="n">
        <v>0</v>
      </c>
      <c r="F19" s="26" t="n">
        <f aca="false">IF(ISNUMBER(D19),E19*D19,E19)</f>
        <v>0</v>
      </c>
      <c r="G19" s="7" t="s">
        <v>35</v>
      </c>
      <c r="H19" s="8" t="s">
        <v>117</v>
      </c>
    </row>
    <row r="20" customFormat="false" ht="14.25" hidden="false" customHeight="true" outlineLevel="0" collapsed="false">
      <c r="A20" s="10" t="s">
        <v>131</v>
      </c>
      <c r="B20" s="11" t="s">
        <v>55</v>
      </c>
      <c r="C20" s="11" t="s">
        <v>129</v>
      </c>
      <c r="D20" s="30" t="n">
        <f aca="false">ROUND($B$5/12,1)</f>
        <v>5</v>
      </c>
      <c r="E20" s="21" t="n">
        <v>0</v>
      </c>
      <c r="F20" s="25" t="n">
        <f aca="false">IF(ISNUMBER(D20),E20*D20,E20)</f>
        <v>0</v>
      </c>
      <c r="G20" s="11" t="s">
        <v>35</v>
      </c>
      <c r="H20" s="12" t="s">
        <v>117</v>
      </c>
    </row>
    <row r="21" customFormat="false" ht="14.25" hidden="false" customHeight="true" outlineLevel="0" collapsed="false">
      <c r="A21" s="1" t="s">
        <v>132</v>
      </c>
      <c r="B21" s="1" t="s">
        <v>133</v>
      </c>
      <c r="C21" s="1" t="s">
        <v>124</v>
      </c>
      <c r="D21" s="32" t="n">
        <f aca="false">$B$5</f>
        <v>60</v>
      </c>
      <c r="E21" s="1" t="n">
        <v>1000</v>
      </c>
      <c r="F21" s="1" t="n">
        <f aca="false">IF(ISNUMBER(D21),E21*D21,E21)</f>
        <v>60000</v>
      </c>
      <c r="G21" s="1" t="s">
        <v>43</v>
      </c>
      <c r="H21" s="1" t="s">
        <v>18</v>
      </c>
    </row>
    <row r="22" customFormat="false" ht="14.25" hidden="false" customHeight="true" outlineLevel="0" collapsed="false">
      <c r="A22" s="14" t="s">
        <v>85</v>
      </c>
      <c r="B22" s="14"/>
      <c r="C22" s="14"/>
      <c r="D22" s="14"/>
      <c r="E22" s="14"/>
      <c r="F22" s="1" t="n">
        <f aca="false">IF(ISNUMBER(D22),E22*D22,E22)</f>
        <v>0</v>
      </c>
      <c r="G22" s="1" t="s">
        <v>43</v>
      </c>
      <c r="H22" s="1" t="s">
        <v>117</v>
      </c>
    </row>
    <row r="23" customFormat="false" ht="14.25" hidden="false" customHeight="true" outlineLevel="0" collapsed="false">
      <c r="A23" s="14"/>
      <c r="B23" s="14"/>
      <c r="C23" s="14"/>
      <c r="D23" s="14"/>
      <c r="E23" s="14"/>
    </row>
    <row r="24" customFormat="false" ht="14.25" hidden="false" customHeight="true" outlineLevel="0" collapsed="false">
      <c r="A24" s="4" t="s">
        <v>134</v>
      </c>
      <c r="B24" s="4"/>
      <c r="C24" s="4"/>
      <c r="D24" s="4"/>
      <c r="E24" s="4"/>
      <c r="F24" s="33" t="n">
        <f aca="false">F10+F11+F12+F14+F15+F16+F18+F19+F20+F21+F22</f>
        <v>384800</v>
      </c>
    </row>
    <row r="25" customFormat="false" ht="14.25" hidden="false" customHeight="true" outlineLevel="0" collapsed="false">
      <c r="A25" s="34" t="s">
        <v>135</v>
      </c>
      <c r="B25" s="34"/>
      <c r="C25" s="34"/>
      <c r="D25" s="34"/>
      <c r="E25" s="34"/>
      <c r="F25" s="35" t="n">
        <f aca="false">IF($B$4&gt;0,F24/$B$4,0)</f>
        <v>0.01924</v>
      </c>
    </row>
    <row r="26" customFormat="false" ht="14.25" hidden="false" customHeight="true" outlineLevel="0" collapsed="false">
      <c r="A26" s="15" t="s">
        <v>136</v>
      </c>
      <c r="B26" s="15"/>
      <c r="C26" s="15"/>
      <c r="D26" s="15"/>
      <c r="E26" s="15"/>
      <c r="F26" s="36" t="n">
        <f aca="false">$B$6*$B$4</f>
        <v>600000</v>
      </c>
    </row>
    <row r="27" customFormat="false" ht="14.25" hidden="false" customHeight="true" outlineLevel="0" collapsed="false">
      <c r="A27" s="37" t="s">
        <v>137</v>
      </c>
      <c r="B27" s="16"/>
      <c r="C27" s="16"/>
      <c r="D27" s="16"/>
      <c r="E27" s="17"/>
      <c r="F27" s="38" t="n">
        <f aca="false">F24+F26</f>
        <v>984800</v>
      </c>
    </row>
    <row r="28" customFormat="false" ht="14.25" hidden="false" customHeight="true" outlineLevel="0" collapsed="false">
      <c r="A28" s="39" t="s">
        <v>138</v>
      </c>
      <c r="F28" s="1" t="n">
        <f aca="false">IF($B$4&gt;0,F27/$B$4,0)</f>
        <v>0.04924</v>
      </c>
    </row>
    <row r="30" customFormat="false" ht="14.25" hidden="false" customHeight="true" outlineLevel="0" collapsed="false">
      <c r="A30" s="18" t="s">
        <v>139</v>
      </c>
    </row>
  </sheetData>
  <mergeCells count="13">
    <mergeCell ref="A1:H2"/>
    <mergeCell ref="A3:H3"/>
    <mergeCell ref="C4:H4"/>
    <mergeCell ref="C5:H5"/>
    <mergeCell ref="C6:H6"/>
    <mergeCell ref="A9:H9"/>
    <mergeCell ref="A13:H13"/>
    <mergeCell ref="A17:H17"/>
    <mergeCell ref="A22:E22"/>
    <mergeCell ref="A23:E23"/>
    <mergeCell ref="A24:E24"/>
    <mergeCell ref="A25:E25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6" min="5" style="1" width="16"/>
    <col collapsed="false" customWidth="true" hidden="false" outlineLevel="0" max="7" min="7" style="1" width="15"/>
    <col collapsed="false" customWidth="true" hidden="false" outlineLevel="0" max="8" min="8" style="1" width="16"/>
  </cols>
  <sheetData>
    <row r="1" customFormat="false" ht="27.75" hidden="false" customHeight="true" outlineLevel="0" collapsed="false">
      <c r="A1" s="19" t="s">
        <v>140</v>
      </c>
      <c r="B1" s="19"/>
      <c r="C1" s="19"/>
      <c r="D1" s="19"/>
      <c r="E1" s="19"/>
      <c r="F1" s="19"/>
      <c r="G1" s="19"/>
      <c r="H1" s="19"/>
    </row>
    <row r="2" customFormat="false" ht="6" hidden="false" customHeight="true" outlineLevel="0" collapsed="false">
      <c r="A2" s="19"/>
      <c r="B2" s="19"/>
      <c r="C2" s="19"/>
      <c r="D2" s="19"/>
      <c r="E2" s="19"/>
      <c r="F2" s="19"/>
      <c r="G2" s="19"/>
      <c r="H2" s="19"/>
    </row>
    <row r="3" customFormat="false" ht="18" hidden="false" customHeight="true" outlineLevel="0" collapsed="false">
      <c r="A3" s="20" t="s">
        <v>101</v>
      </c>
      <c r="B3" s="20"/>
      <c r="C3" s="20"/>
      <c r="D3" s="20"/>
      <c r="E3" s="20"/>
      <c r="F3" s="20"/>
      <c r="G3" s="20"/>
      <c r="H3" s="20"/>
    </row>
    <row r="4" customFormat="false" ht="18" hidden="false" customHeight="true" outlineLevel="0" collapsed="false">
      <c r="A4" s="10" t="s">
        <v>102</v>
      </c>
      <c r="B4" s="21" t="n">
        <v>10000000</v>
      </c>
      <c r="C4" s="22" t="s">
        <v>103</v>
      </c>
      <c r="D4" s="22"/>
      <c r="E4" s="22"/>
      <c r="F4" s="22"/>
      <c r="G4" s="22"/>
      <c r="H4" s="22"/>
    </row>
    <row r="5" customFormat="false" ht="18" hidden="false" customHeight="true" outlineLevel="0" collapsed="false">
      <c r="A5" s="10" t="s">
        <v>104</v>
      </c>
      <c r="B5" s="23" t="n">
        <v>60</v>
      </c>
      <c r="C5" s="22" t="s">
        <v>103</v>
      </c>
      <c r="D5" s="22"/>
      <c r="E5" s="22"/>
      <c r="F5" s="22"/>
      <c r="G5" s="22"/>
      <c r="H5" s="22"/>
    </row>
    <row r="6" customFormat="false" ht="18" hidden="false" customHeight="true" outlineLevel="0" collapsed="false">
      <c r="A6" s="10" t="s">
        <v>105</v>
      </c>
      <c r="B6" s="24" t="n">
        <v>0.03</v>
      </c>
      <c r="C6" s="22" t="s">
        <v>103</v>
      </c>
      <c r="D6" s="22"/>
      <c r="E6" s="22"/>
      <c r="F6" s="22"/>
      <c r="G6" s="22"/>
      <c r="H6" s="22"/>
    </row>
    <row r="7" customFormat="false" ht="6" hidden="false" customHeight="true" outlineLevel="0" collapsed="false"/>
    <row r="8" customFormat="false" ht="27.75" hidden="false" customHeight="true" outlineLevel="0" collapsed="false">
      <c r="A8" s="3" t="s">
        <v>106</v>
      </c>
      <c r="B8" s="3" t="s">
        <v>2</v>
      </c>
      <c r="C8" s="3" t="s">
        <v>107</v>
      </c>
      <c r="D8" s="3" t="s">
        <v>108</v>
      </c>
      <c r="E8" s="3" t="s">
        <v>109</v>
      </c>
      <c r="F8" s="3" t="s">
        <v>110</v>
      </c>
      <c r="G8" s="3" t="s">
        <v>8</v>
      </c>
      <c r="H8" s="3" t="s">
        <v>9</v>
      </c>
    </row>
    <row r="9" customFormat="false" ht="18" hidden="false" customHeight="true" outlineLevel="0" collapsed="false">
      <c r="A9" s="4" t="s">
        <v>111</v>
      </c>
      <c r="B9" s="4"/>
      <c r="C9" s="4"/>
      <c r="D9" s="4"/>
      <c r="E9" s="4"/>
      <c r="F9" s="4"/>
      <c r="G9" s="4"/>
      <c r="H9" s="4"/>
    </row>
    <row r="10" customFormat="false" ht="18" hidden="false" customHeight="true" outlineLevel="0" collapsed="false">
      <c r="A10" s="10" t="s">
        <v>112</v>
      </c>
      <c r="B10" s="11" t="s">
        <v>113</v>
      </c>
      <c r="C10" s="24" t="n">
        <v>0.0007</v>
      </c>
      <c r="D10" s="11" t="s">
        <v>114</v>
      </c>
      <c r="E10" s="11"/>
      <c r="F10" s="25" t="n">
        <f aca="false">C10*$B$4</f>
        <v>7000</v>
      </c>
      <c r="G10" s="11" t="s">
        <v>35</v>
      </c>
      <c r="H10" s="12" t="s">
        <v>18</v>
      </c>
    </row>
    <row r="11" customFormat="false" ht="18" hidden="false" customHeight="true" outlineLevel="0" collapsed="false">
      <c r="A11" s="6" t="s">
        <v>141</v>
      </c>
      <c r="B11" s="7" t="s">
        <v>21</v>
      </c>
      <c r="C11" s="7" t="s">
        <v>22</v>
      </c>
      <c r="D11" s="7" t="s">
        <v>116</v>
      </c>
      <c r="E11" s="21" t="n">
        <v>0</v>
      </c>
      <c r="F11" s="26" t="n">
        <f aca="false">E11</f>
        <v>0</v>
      </c>
      <c r="G11" s="7" t="s">
        <v>17</v>
      </c>
      <c r="H11" s="8" t="s">
        <v>117</v>
      </c>
    </row>
    <row r="12" customFormat="false" ht="18" hidden="false" customHeight="true" outlineLevel="0" collapsed="false">
      <c r="A12" s="10" t="s">
        <v>142</v>
      </c>
      <c r="B12" s="11" t="s">
        <v>21</v>
      </c>
      <c r="C12" s="27" t="n">
        <v>8E-006</v>
      </c>
      <c r="D12" s="28" t="n">
        <f aca="false">$B$5</f>
        <v>60</v>
      </c>
      <c r="E12" s="11"/>
      <c r="F12" s="25" t="n">
        <f aca="false">C12*$B$4*$B$5/12</f>
        <v>400</v>
      </c>
      <c r="G12" s="11" t="s">
        <v>43</v>
      </c>
      <c r="H12" s="12" t="s">
        <v>117</v>
      </c>
    </row>
    <row r="13" customFormat="false" ht="18" hidden="false" customHeight="true" outlineLevel="0" collapsed="false">
      <c r="A13" s="20" t="s">
        <v>119</v>
      </c>
      <c r="B13" s="20"/>
      <c r="C13" s="20"/>
      <c r="D13" s="20"/>
      <c r="E13" s="20"/>
      <c r="F13" s="20"/>
      <c r="G13" s="20"/>
      <c r="H13" s="20"/>
    </row>
    <row r="14" customFormat="false" ht="18" hidden="false" customHeight="true" outlineLevel="0" collapsed="false">
      <c r="A14" s="10" t="s">
        <v>120</v>
      </c>
      <c r="B14" s="11" t="s">
        <v>121</v>
      </c>
      <c r="C14" s="11" t="s">
        <v>122</v>
      </c>
      <c r="D14" s="11" t="s">
        <v>116</v>
      </c>
      <c r="E14" s="21" t="n">
        <v>30000</v>
      </c>
      <c r="F14" s="25" t="n">
        <f aca="false">E14</f>
        <v>30000</v>
      </c>
      <c r="G14" s="11" t="s">
        <v>17</v>
      </c>
      <c r="H14" s="12" t="s">
        <v>18</v>
      </c>
    </row>
    <row r="15" customFormat="false" ht="18" hidden="false" customHeight="true" outlineLevel="0" collapsed="false">
      <c r="A15" s="6" t="s">
        <v>143</v>
      </c>
      <c r="B15" s="7" t="s">
        <v>121</v>
      </c>
      <c r="C15" s="7" t="s">
        <v>124</v>
      </c>
      <c r="D15" s="29" t="n">
        <f aca="false">$B$5</f>
        <v>60</v>
      </c>
      <c r="E15" s="21" t="n">
        <v>3000</v>
      </c>
      <c r="F15" s="26" t="n">
        <f aca="false">IF(ISNUMBER(D15),E15*D15,E15)</f>
        <v>180000</v>
      </c>
      <c r="G15" s="7" t="s">
        <v>43</v>
      </c>
      <c r="H15" s="8" t="s">
        <v>117</v>
      </c>
    </row>
    <row r="16" customFormat="false" ht="18" hidden="false" customHeight="true" outlineLevel="0" collapsed="false">
      <c r="A16" s="10" t="s">
        <v>125</v>
      </c>
      <c r="B16" s="11" t="s">
        <v>121</v>
      </c>
      <c r="C16" s="11" t="s">
        <v>126</v>
      </c>
      <c r="D16" s="23" t="n">
        <v>0</v>
      </c>
      <c r="E16" s="21" t="n">
        <v>500</v>
      </c>
      <c r="F16" s="25" t="n">
        <f aca="false">IF(ISNUMBER(D16),E16*D16,E16)</f>
        <v>0</v>
      </c>
      <c r="G16" s="11" t="s">
        <v>83</v>
      </c>
      <c r="H16" s="12" t="s">
        <v>117</v>
      </c>
    </row>
    <row r="17" customFormat="false" ht="18" hidden="false" customHeight="true" outlineLevel="0" collapsed="false">
      <c r="A17" s="13" t="s">
        <v>144</v>
      </c>
      <c r="B17" s="13"/>
      <c r="C17" s="13"/>
      <c r="D17" s="13"/>
      <c r="E17" s="13"/>
      <c r="F17" s="13"/>
      <c r="G17" s="13"/>
      <c r="H17" s="13"/>
    </row>
    <row r="18" customFormat="false" ht="18" hidden="false" customHeight="true" outlineLevel="0" collapsed="false">
      <c r="A18" s="10" t="s">
        <v>145</v>
      </c>
      <c r="B18" s="11" t="s">
        <v>55</v>
      </c>
      <c r="C18" s="11" t="s">
        <v>129</v>
      </c>
      <c r="D18" s="30" t="n">
        <f aca="false">ROUND($B$5/12,1)</f>
        <v>5</v>
      </c>
      <c r="E18" s="21" t="n">
        <v>20000</v>
      </c>
      <c r="F18" s="25" t="n">
        <f aca="false">IF(ISNUMBER(D18),E18*D18,E18)</f>
        <v>100000</v>
      </c>
      <c r="G18" s="11" t="s">
        <v>35</v>
      </c>
      <c r="H18" s="12" t="s">
        <v>117</v>
      </c>
    </row>
    <row r="19" customFormat="false" ht="18" hidden="false" customHeight="true" outlineLevel="0" collapsed="false">
      <c r="A19" s="6" t="s">
        <v>146</v>
      </c>
      <c r="B19" s="7" t="s">
        <v>55</v>
      </c>
      <c r="C19" s="7" t="s">
        <v>129</v>
      </c>
      <c r="D19" s="31" t="n">
        <f aca="false">ROUND($B$5/12,1)</f>
        <v>5</v>
      </c>
      <c r="E19" s="21" t="n">
        <v>0</v>
      </c>
      <c r="F19" s="26" t="n">
        <f aca="false">IF(ISNUMBER(D19),E19*D19,E19)</f>
        <v>0</v>
      </c>
      <c r="G19" s="7" t="s">
        <v>35</v>
      </c>
      <c r="H19" s="8" t="s">
        <v>117</v>
      </c>
    </row>
    <row r="20" customFormat="false" ht="18" hidden="false" customHeight="true" outlineLevel="0" collapsed="false">
      <c r="A20" s="14" t="s">
        <v>132</v>
      </c>
      <c r="B20" s="14"/>
      <c r="C20" s="14"/>
      <c r="D20" s="14"/>
      <c r="E20" s="14"/>
      <c r="F20" s="14"/>
      <c r="G20" s="14"/>
      <c r="H20" s="14"/>
    </row>
    <row r="21" customFormat="false" ht="18" hidden="false" customHeight="true" outlineLevel="0" collapsed="false">
      <c r="A21" s="1" t="s">
        <v>85</v>
      </c>
      <c r="B21" s="1" t="s">
        <v>133</v>
      </c>
      <c r="C21" s="1" t="s">
        <v>124</v>
      </c>
      <c r="D21" s="32" t="n">
        <f aca="false">$B$5</f>
        <v>60</v>
      </c>
      <c r="E21" s="1" t="n">
        <v>200</v>
      </c>
      <c r="F21" s="1" t="n">
        <f aca="false">IF(ISNUMBER(D21),E21*D21,E21)</f>
        <v>12000</v>
      </c>
      <c r="G21" s="1" t="s">
        <v>43</v>
      </c>
      <c r="H21" s="1" t="s">
        <v>117</v>
      </c>
    </row>
    <row r="22" customFormat="false" ht="3.75" hidden="false" customHeight="true" outlineLevel="0" collapsed="false">
      <c r="A22" s="40" t="s">
        <v>147</v>
      </c>
      <c r="B22" s="16"/>
      <c r="C22" s="16"/>
      <c r="D22" s="16"/>
      <c r="E22" s="16"/>
      <c r="F22" s="16"/>
      <c r="G22" s="16"/>
      <c r="H22" s="17"/>
    </row>
    <row r="23" customFormat="false" ht="19.5" hidden="false" customHeight="true" outlineLevel="0" collapsed="false">
      <c r="A23" s="6" t="s">
        <v>148</v>
      </c>
      <c r="B23" s="6"/>
      <c r="C23" s="6"/>
      <c r="D23" s="6"/>
      <c r="E23" s="6"/>
      <c r="F23" s="26" t="n">
        <f aca="false">IF(ISNUMBER(D21),E21*D21,E21)</f>
        <v>12000</v>
      </c>
      <c r="G23" s="7" t="s">
        <v>35</v>
      </c>
      <c r="H23" s="8" t="s">
        <v>18</v>
      </c>
    </row>
    <row r="24" customFormat="false" ht="18" hidden="false" customHeight="true" outlineLevel="0" collapsed="false">
      <c r="A24" s="14"/>
      <c r="B24" s="14"/>
      <c r="C24" s="14"/>
      <c r="D24" s="14"/>
      <c r="E24" s="14"/>
    </row>
    <row r="25" customFormat="false" ht="19.5" hidden="false" customHeight="true" outlineLevel="0" collapsed="false">
      <c r="A25" s="4" t="s">
        <v>134</v>
      </c>
      <c r="B25" s="4"/>
      <c r="C25" s="4"/>
      <c r="D25" s="4"/>
      <c r="E25" s="4"/>
      <c r="F25" s="33" t="n">
        <f aca="false">F10+F11+F12+F14+F15+F16+F18+F19+F20+F21+F23</f>
        <v>341400</v>
      </c>
    </row>
    <row r="26" customFormat="false" ht="21.75" hidden="false" customHeight="true" outlineLevel="0" collapsed="false">
      <c r="A26" s="34" t="s">
        <v>135</v>
      </c>
      <c r="B26" s="34"/>
      <c r="C26" s="34"/>
      <c r="D26" s="34"/>
      <c r="E26" s="34"/>
      <c r="F26" s="35" t="n">
        <f aca="false">IF($B$4&gt;0,F25/$B$4,0)</f>
        <v>0.03414</v>
      </c>
    </row>
    <row r="27" customFormat="false" ht="18" hidden="false" customHeight="true" outlineLevel="0" collapsed="false">
      <c r="A27" s="15" t="s">
        <v>136</v>
      </c>
      <c r="B27" s="15"/>
      <c r="C27" s="15"/>
      <c r="D27" s="15"/>
      <c r="E27" s="15"/>
      <c r="F27" s="36" t="n">
        <f aca="false">$B$6*$B$4</f>
        <v>300000</v>
      </c>
    </row>
    <row r="28" customFormat="false" ht="14.25" hidden="false" customHeight="true" outlineLevel="0" collapsed="false">
      <c r="A28" s="37" t="s">
        <v>137</v>
      </c>
      <c r="B28" s="16"/>
      <c r="C28" s="16"/>
      <c r="D28" s="16"/>
      <c r="E28" s="17"/>
      <c r="F28" s="38" t="n">
        <f aca="false">F25+F27</f>
        <v>641400</v>
      </c>
    </row>
    <row r="29" customFormat="false" ht="14.25" hidden="false" customHeight="true" outlineLevel="0" collapsed="false">
      <c r="A29" s="39" t="s">
        <v>138</v>
      </c>
      <c r="F29" s="1" t="n">
        <f aca="false">IF($B$4&gt;0,F28/$B$4,0)</f>
        <v>0.06414</v>
      </c>
    </row>
    <row r="31" customFormat="false" ht="14.25" hidden="false" customHeight="true" outlineLevel="0" collapsed="false">
      <c r="A31" s="18" t="s">
        <v>139</v>
      </c>
    </row>
  </sheetData>
  <mergeCells count="14">
    <mergeCell ref="A1:H2"/>
    <mergeCell ref="A3:H3"/>
    <mergeCell ref="C4:H4"/>
    <mergeCell ref="C5:H5"/>
    <mergeCell ref="C6:H6"/>
    <mergeCell ref="A9:H9"/>
    <mergeCell ref="A13:H13"/>
    <mergeCell ref="A17:H17"/>
    <mergeCell ref="A20:H20"/>
    <mergeCell ref="A23:E23"/>
    <mergeCell ref="A24:E24"/>
    <mergeCell ref="A25:E25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6" min="5" style="1" width="16"/>
    <col collapsed="false" customWidth="true" hidden="false" outlineLevel="0" max="7" min="7" style="1" width="15"/>
    <col collapsed="false" customWidth="true" hidden="false" outlineLevel="0" max="8" min="8" style="1" width="16"/>
  </cols>
  <sheetData>
    <row r="1" customFormat="false" ht="27.75" hidden="false" customHeight="true" outlineLevel="0" collapsed="false">
      <c r="A1" s="19" t="s">
        <v>149</v>
      </c>
      <c r="B1" s="19"/>
      <c r="C1" s="19"/>
      <c r="D1" s="19"/>
      <c r="E1" s="19"/>
      <c r="F1" s="19"/>
      <c r="G1" s="19"/>
      <c r="H1" s="19"/>
    </row>
    <row r="2" customFormat="false" ht="6" hidden="false" customHeight="true" outlineLevel="0" collapsed="false">
      <c r="A2" s="19"/>
      <c r="B2" s="19"/>
      <c r="C2" s="19"/>
      <c r="D2" s="19"/>
      <c r="E2" s="19"/>
      <c r="F2" s="19"/>
      <c r="G2" s="19"/>
      <c r="H2" s="19"/>
    </row>
    <row r="3" customFormat="false" ht="18" hidden="false" customHeight="true" outlineLevel="0" collapsed="false">
      <c r="A3" s="20" t="s">
        <v>101</v>
      </c>
      <c r="B3" s="20"/>
      <c r="C3" s="20"/>
      <c r="D3" s="20"/>
      <c r="E3" s="20"/>
      <c r="F3" s="20"/>
      <c r="G3" s="20"/>
      <c r="H3" s="20"/>
    </row>
    <row r="4" customFormat="false" ht="18" hidden="false" customHeight="true" outlineLevel="0" collapsed="false">
      <c r="A4" s="10" t="s">
        <v>102</v>
      </c>
      <c r="B4" s="21" t="n">
        <v>50000000</v>
      </c>
      <c r="C4" s="22" t="s">
        <v>103</v>
      </c>
      <c r="D4" s="22"/>
      <c r="E4" s="22"/>
      <c r="F4" s="22"/>
      <c r="G4" s="22"/>
      <c r="H4" s="22"/>
    </row>
    <row r="5" customFormat="false" ht="18" hidden="false" customHeight="true" outlineLevel="0" collapsed="false">
      <c r="A5" s="10" t="s">
        <v>104</v>
      </c>
      <c r="B5" s="23" t="n">
        <v>60</v>
      </c>
      <c r="C5" s="22" t="s">
        <v>103</v>
      </c>
      <c r="D5" s="22"/>
      <c r="E5" s="22"/>
      <c r="F5" s="22"/>
      <c r="G5" s="22"/>
      <c r="H5" s="22"/>
    </row>
    <row r="6" customFormat="false" ht="18" hidden="false" customHeight="true" outlineLevel="0" collapsed="false">
      <c r="A6" s="10" t="s">
        <v>105</v>
      </c>
      <c r="B6" s="24" t="n">
        <v>0.03</v>
      </c>
      <c r="C6" s="22" t="s">
        <v>103</v>
      </c>
      <c r="D6" s="22"/>
      <c r="E6" s="22"/>
      <c r="F6" s="22"/>
      <c r="G6" s="22"/>
      <c r="H6" s="22"/>
    </row>
    <row r="7" customFormat="false" ht="6" hidden="false" customHeight="true" outlineLevel="0" collapsed="false"/>
    <row r="8" customFormat="false" ht="27.75" hidden="false" customHeight="true" outlineLevel="0" collapsed="false">
      <c r="A8" s="3" t="s">
        <v>106</v>
      </c>
      <c r="B8" s="3" t="s">
        <v>2</v>
      </c>
      <c r="C8" s="3" t="s">
        <v>107</v>
      </c>
      <c r="D8" s="3" t="s">
        <v>108</v>
      </c>
      <c r="E8" s="3" t="s">
        <v>109</v>
      </c>
      <c r="F8" s="3" t="s">
        <v>110</v>
      </c>
      <c r="G8" s="3" t="s">
        <v>8</v>
      </c>
      <c r="H8" s="3" t="s">
        <v>9</v>
      </c>
    </row>
    <row r="9" customFormat="false" ht="18" hidden="false" customHeight="true" outlineLevel="0" collapsed="false">
      <c r="A9" s="4" t="s">
        <v>150</v>
      </c>
      <c r="B9" s="4"/>
      <c r="C9" s="4"/>
      <c r="D9" s="4"/>
      <c r="E9" s="4"/>
      <c r="F9" s="4"/>
      <c r="G9" s="4"/>
      <c r="H9" s="4"/>
    </row>
    <row r="10" customFormat="false" ht="18" hidden="false" customHeight="true" outlineLevel="0" collapsed="false">
      <c r="A10" s="10" t="s">
        <v>151</v>
      </c>
      <c r="B10" s="11" t="s">
        <v>152</v>
      </c>
      <c r="C10" s="11" t="s">
        <v>122</v>
      </c>
      <c r="D10" s="11" t="s">
        <v>116</v>
      </c>
      <c r="E10" s="21" t="n">
        <v>50000</v>
      </c>
      <c r="F10" s="25" t="n">
        <f aca="false">E10</f>
        <v>50000</v>
      </c>
      <c r="G10" s="11" t="s">
        <v>17</v>
      </c>
      <c r="H10" s="12" t="s">
        <v>153</v>
      </c>
    </row>
    <row r="11" customFormat="false" ht="18" hidden="false" customHeight="true" outlineLevel="0" collapsed="false">
      <c r="A11" s="6" t="s">
        <v>154</v>
      </c>
      <c r="B11" s="7" t="s">
        <v>73</v>
      </c>
      <c r="C11" s="7" t="s">
        <v>122</v>
      </c>
      <c r="D11" s="7" t="s">
        <v>116</v>
      </c>
      <c r="E11" s="21" t="n">
        <v>2000</v>
      </c>
      <c r="F11" s="26" t="n">
        <f aca="false">E11</f>
        <v>2000</v>
      </c>
      <c r="G11" s="7" t="s">
        <v>17</v>
      </c>
      <c r="H11" s="8" t="s">
        <v>153</v>
      </c>
    </row>
    <row r="12" customFormat="false" ht="18" hidden="false" customHeight="true" outlineLevel="0" collapsed="false">
      <c r="A12" s="20" t="s">
        <v>155</v>
      </c>
      <c r="B12" s="20"/>
      <c r="C12" s="20"/>
      <c r="D12" s="20"/>
      <c r="E12" s="20"/>
      <c r="F12" s="20"/>
      <c r="G12" s="20"/>
      <c r="H12" s="20"/>
    </row>
    <row r="13" customFormat="false" ht="18" hidden="false" customHeight="true" outlineLevel="0" collapsed="false">
      <c r="A13" s="6" t="s">
        <v>156</v>
      </c>
      <c r="B13" s="7" t="s">
        <v>157</v>
      </c>
      <c r="C13" s="7" t="s">
        <v>158</v>
      </c>
      <c r="D13" s="29" t="n">
        <f aca="false">$B$5</f>
        <v>60</v>
      </c>
      <c r="E13" s="21" t="n">
        <v>15000</v>
      </c>
      <c r="F13" s="26" t="n">
        <f aca="false">IF(ISNUMBER(D13),E13*D13,E13)</f>
        <v>900000</v>
      </c>
      <c r="G13" s="7" t="s">
        <v>43</v>
      </c>
      <c r="H13" s="8" t="s">
        <v>153</v>
      </c>
    </row>
    <row r="14" customFormat="false" ht="18" hidden="false" customHeight="true" outlineLevel="0" collapsed="false">
      <c r="A14" s="10" t="s">
        <v>159</v>
      </c>
      <c r="B14" s="11" t="s">
        <v>160</v>
      </c>
      <c r="C14" s="11" t="s">
        <v>124</v>
      </c>
      <c r="D14" s="28" t="n">
        <f aca="false">$B$5</f>
        <v>60</v>
      </c>
      <c r="E14" s="21" t="n">
        <v>20000</v>
      </c>
      <c r="F14" s="25" t="n">
        <f aca="false">IF(ISNUMBER(D14),E14*D14,E14)</f>
        <v>1200000</v>
      </c>
      <c r="G14" s="11" t="s">
        <v>43</v>
      </c>
      <c r="H14" s="12" t="s">
        <v>153</v>
      </c>
    </row>
    <row r="15" customFormat="false" ht="18" hidden="false" customHeight="true" outlineLevel="0" collapsed="false">
      <c r="A15" s="6" t="s">
        <v>161</v>
      </c>
      <c r="B15" s="7" t="s">
        <v>162</v>
      </c>
      <c r="C15" s="7" t="s">
        <v>124</v>
      </c>
      <c r="D15" s="29" t="n">
        <f aca="false">$B$5</f>
        <v>60</v>
      </c>
      <c r="E15" s="21" t="n">
        <v>1500</v>
      </c>
      <c r="F15" s="26" t="n">
        <f aca="false">IF(ISNUMBER(D15),E15*D15,E15)</f>
        <v>90000</v>
      </c>
      <c r="G15" s="7" t="s">
        <v>43</v>
      </c>
      <c r="H15" s="8" t="s">
        <v>153</v>
      </c>
    </row>
    <row r="16" customFormat="false" ht="18" hidden="false" customHeight="true" outlineLevel="0" collapsed="false">
      <c r="A16" s="10" t="s">
        <v>163</v>
      </c>
      <c r="B16" s="11" t="s">
        <v>164</v>
      </c>
      <c r="C16" s="11" t="s">
        <v>124</v>
      </c>
      <c r="D16" s="28" t="n">
        <f aca="false">$B$5</f>
        <v>60</v>
      </c>
      <c r="E16" s="21" t="n">
        <v>70000</v>
      </c>
      <c r="F16" s="25" t="n">
        <f aca="false">IF(ISNUMBER(D16),E16*D16,E16)</f>
        <v>4200000</v>
      </c>
      <c r="G16" s="11" t="s">
        <v>43</v>
      </c>
      <c r="H16" s="12" t="s">
        <v>153</v>
      </c>
    </row>
    <row r="17" customFormat="false" ht="18" hidden="false" customHeight="true" outlineLevel="0" collapsed="false">
      <c r="A17" s="6" t="s">
        <v>165</v>
      </c>
      <c r="B17" s="7" t="s">
        <v>64</v>
      </c>
      <c r="C17" s="7" t="s">
        <v>124</v>
      </c>
      <c r="D17" s="29" t="n">
        <f aca="false">$B$5</f>
        <v>60</v>
      </c>
      <c r="E17" s="21" t="n">
        <v>5000</v>
      </c>
      <c r="F17" s="26" t="n">
        <f aca="false">IF(ISNUMBER(D17),E17*D17,E17)</f>
        <v>300000</v>
      </c>
      <c r="G17" s="7" t="s">
        <v>43</v>
      </c>
      <c r="H17" s="8" t="s">
        <v>153</v>
      </c>
    </row>
    <row r="18" customFormat="false" ht="18" hidden="false" customHeight="true" outlineLevel="0" collapsed="false">
      <c r="A18" s="10" t="s">
        <v>166</v>
      </c>
      <c r="B18" s="11" t="s">
        <v>78</v>
      </c>
      <c r="C18" s="11" t="s">
        <v>124</v>
      </c>
      <c r="D18" s="28" t="n">
        <f aca="false">$B$5</f>
        <v>60</v>
      </c>
      <c r="E18" s="21" t="n">
        <v>5000</v>
      </c>
      <c r="F18" s="25" t="n">
        <f aca="false">IF(ISNUMBER(D18),E18*D18,E18)</f>
        <v>300000</v>
      </c>
      <c r="G18" s="11" t="s">
        <v>43</v>
      </c>
      <c r="H18" s="12" t="s">
        <v>153</v>
      </c>
    </row>
    <row r="19" customFormat="false" ht="18" hidden="false" customHeight="true" outlineLevel="0" collapsed="false">
      <c r="A19" s="14" t="s">
        <v>85</v>
      </c>
      <c r="B19" s="14"/>
      <c r="C19" s="14"/>
      <c r="D19" s="14"/>
      <c r="E19" s="14"/>
      <c r="F19" s="14"/>
      <c r="G19" s="14"/>
      <c r="H19" s="14"/>
    </row>
    <row r="20" customFormat="false" ht="18" hidden="false" customHeight="true" outlineLevel="0" collapsed="false">
      <c r="A20" s="13" t="s">
        <v>167</v>
      </c>
      <c r="B20" s="16"/>
      <c r="C20" s="16"/>
      <c r="D20" s="16"/>
      <c r="E20" s="16"/>
      <c r="F20" s="16"/>
      <c r="G20" s="16"/>
      <c r="H20" s="17"/>
    </row>
    <row r="21" customFormat="false" ht="18" hidden="false" customHeight="true" outlineLevel="0" collapsed="false">
      <c r="A21" s="10" t="s">
        <v>168</v>
      </c>
      <c r="B21" s="11" t="s">
        <v>169</v>
      </c>
      <c r="C21" s="11" t="s">
        <v>129</v>
      </c>
      <c r="D21" s="30" t="n">
        <f aca="false">ROUND($B$5/12,1)</f>
        <v>5</v>
      </c>
      <c r="E21" s="21" t="n">
        <v>36000</v>
      </c>
      <c r="F21" s="25" t="n">
        <f aca="false">IF(ISNUMBER(D20),E20*D20,E20)</f>
        <v>0</v>
      </c>
      <c r="G21" s="11" t="s">
        <v>35</v>
      </c>
      <c r="H21" s="12" t="s">
        <v>153</v>
      </c>
    </row>
    <row r="22" customFormat="false" ht="18" hidden="false" customHeight="true" outlineLevel="0" collapsed="false">
      <c r="A22" s="6" t="s">
        <v>170</v>
      </c>
      <c r="B22" s="7" t="s">
        <v>73</v>
      </c>
      <c r="C22" s="7" t="s">
        <v>171</v>
      </c>
      <c r="D22" s="29" t="n">
        <f aca="false">ROUND($B$5/3,0)</f>
        <v>20</v>
      </c>
      <c r="E22" s="21" t="n">
        <v>4500</v>
      </c>
      <c r="F22" s="26" t="n">
        <f aca="false">IF(ISNUMBER(D21),E21*D21,E21)</f>
        <v>180000</v>
      </c>
      <c r="G22" s="7" t="s">
        <v>75</v>
      </c>
      <c r="H22" s="8" t="s">
        <v>153</v>
      </c>
    </row>
    <row r="23" customFormat="false" ht="3.75" hidden="false" customHeight="true" outlineLevel="0" collapsed="false">
      <c r="A23" s="10" t="s">
        <v>172</v>
      </c>
      <c r="B23" s="11" t="s">
        <v>173</v>
      </c>
      <c r="C23" s="11" t="s">
        <v>129</v>
      </c>
      <c r="D23" s="30" t="n">
        <f aca="false">ROUND($B$5/12,1)</f>
        <v>5</v>
      </c>
      <c r="E23" s="21" t="n">
        <v>0</v>
      </c>
      <c r="F23" s="25" t="n">
        <f aca="false">IF(ISNUMBER(D22),E22*D22,E22)</f>
        <v>90000</v>
      </c>
      <c r="G23" s="11" t="s">
        <v>35</v>
      </c>
      <c r="H23" s="12" t="s">
        <v>153</v>
      </c>
    </row>
    <row r="24" customFormat="false" ht="19.5" hidden="false" customHeight="true" outlineLevel="0" collapsed="false">
      <c r="A24" s="14"/>
      <c r="B24" s="14"/>
      <c r="C24" s="14"/>
      <c r="D24" s="14"/>
      <c r="E24" s="14"/>
    </row>
    <row r="25" customFormat="false" ht="18" hidden="false" customHeight="true" outlineLevel="0" collapsed="false">
      <c r="A25" s="4" t="s">
        <v>134</v>
      </c>
      <c r="B25" s="4"/>
      <c r="C25" s="4"/>
      <c r="D25" s="4"/>
      <c r="E25" s="4"/>
      <c r="F25" s="33" t="n">
        <f aca="false">F10+F11+F13+F14+F15+F16+F17+F18+F19+F21+F22+F23</f>
        <v>7312000</v>
      </c>
    </row>
    <row r="26" customFormat="false" ht="19.5" hidden="false" customHeight="true" outlineLevel="0" collapsed="false">
      <c r="A26" s="34" t="s">
        <v>135</v>
      </c>
      <c r="B26" s="34"/>
      <c r="C26" s="34"/>
      <c r="D26" s="34"/>
      <c r="E26" s="34"/>
      <c r="F26" s="35" t="n">
        <f aca="false">IF($B$4&gt;0,F25/$B$4,0)</f>
        <v>0.14624</v>
      </c>
    </row>
    <row r="27" customFormat="false" ht="21.75" hidden="false" customHeight="true" outlineLevel="0" collapsed="false">
      <c r="A27" s="15" t="s">
        <v>136</v>
      </c>
      <c r="B27" s="15"/>
      <c r="C27" s="15"/>
      <c r="D27" s="15"/>
      <c r="E27" s="15"/>
      <c r="F27" s="36" t="n">
        <f aca="false">$B$6*$B$4</f>
        <v>1500000</v>
      </c>
    </row>
    <row r="28" customFormat="false" ht="18" hidden="false" customHeight="true" outlineLevel="0" collapsed="false">
      <c r="A28" s="37" t="s">
        <v>137</v>
      </c>
      <c r="B28" s="37"/>
      <c r="C28" s="37"/>
      <c r="D28" s="37"/>
      <c r="E28" s="37"/>
      <c r="F28" s="38" t="n">
        <f aca="false">F25+F27</f>
        <v>8812000</v>
      </c>
    </row>
    <row r="29" customFormat="false" ht="14.25" hidden="false" customHeight="true" outlineLevel="0" collapsed="false">
      <c r="A29" s="34" t="s">
        <v>138</v>
      </c>
      <c r="B29" s="16"/>
      <c r="C29" s="16"/>
      <c r="D29" s="16"/>
      <c r="E29" s="17"/>
      <c r="F29" s="35" t="n">
        <f aca="false">IF($B$4&gt;0,F28/$B$4,0)</f>
        <v>0.17624</v>
      </c>
    </row>
    <row r="30" customFormat="false" ht="14.25" hidden="false" customHeight="true" outlineLevel="0" collapsed="false">
      <c r="A30" s="14"/>
      <c r="B30" s="14"/>
      <c r="C30" s="14"/>
      <c r="D30" s="14"/>
      <c r="E30" s="14"/>
      <c r="F30" s="14"/>
      <c r="G30" s="14"/>
      <c r="H30" s="14"/>
    </row>
    <row r="31" customFormat="false" ht="14.25" hidden="false" customHeight="true" outlineLevel="0" collapsed="false">
      <c r="A31" s="18" t="s">
        <v>139</v>
      </c>
    </row>
  </sheetData>
  <mergeCells count="14">
    <mergeCell ref="A1:H2"/>
    <mergeCell ref="A3:H3"/>
    <mergeCell ref="C4:H4"/>
    <mergeCell ref="C5:H5"/>
    <mergeCell ref="C6:H6"/>
    <mergeCell ref="A9:H9"/>
    <mergeCell ref="A12:H12"/>
    <mergeCell ref="A19:H19"/>
    <mergeCell ref="A24:E24"/>
    <mergeCell ref="A25:E25"/>
    <mergeCell ref="A26:E26"/>
    <mergeCell ref="A27:E27"/>
    <mergeCell ref="A28:E28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6" min="5" style="1" width="16"/>
    <col collapsed="false" customWidth="true" hidden="false" outlineLevel="0" max="7" min="7" style="1" width="15"/>
    <col collapsed="false" customWidth="true" hidden="false" outlineLevel="0" max="8" min="8" style="1" width="16"/>
  </cols>
  <sheetData>
    <row r="1" customFormat="false" ht="27.75" hidden="false" customHeight="true" outlineLevel="0" collapsed="false">
      <c r="A1" s="19" t="s">
        <v>174</v>
      </c>
      <c r="B1" s="19"/>
      <c r="C1" s="19"/>
      <c r="D1" s="19"/>
      <c r="E1" s="19"/>
      <c r="F1" s="19"/>
      <c r="G1" s="19"/>
      <c r="H1" s="19"/>
    </row>
    <row r="2" customFormat="false" ht="14.25" hidden="false" customHeight="true" outlineLevel="0" collapsed="false">
      <c r="A2" s="19"/>
      <c r="B2" s="19"/>
      <c r="C2" s="19"/>
      <c r="D2" s="19"/>
      <c r="E2" s="19"/>
      <c r="F2" s="19"/>
      <c r="G2" s="19"/>
      <c r="H2" s="19"/>
    </row>
    <row r="3" customFormat="false" ht="14.25" hidden="false" customHeight="true" outlineLevel="0" collapsed="false">
      <c r="A3" s="20" t="s">
        <v>101</v>
      </c>
      <c r="B3" s="20"/>
      <c r="C3" s="20"/>
      <c r="D3" s="20"/>
      <c r="E3" s="20"/>
      <c r="F3" s="20"/>
      <c r="G3" s="20"/>
      <c r="H3" s="20"/>
    </row>
    <row r="4" customFormat="false" ht="14.25" hidden="false" customHeight="true" outlineLevel="0" collapsed="false">
      <c r="A4" s="10" t="s">
        <v>102</v>
      </c>
      <c r="B4" s="21" t="n">
        <v>10000000</v>
      </c>
      <c r="C4" s="22" t="s">
        <v>103</v>
      </c>
      <c r="D4" s="22"/>
      <c r="E4" s="22"/>
      <c r="F4" s="22"/>
      <c r="G4" s="22"/>
      <c r="H4" s="22"/>
    </row>
    <row r="5" customFormat="false" ht="14.25" hidden="false" customHeight="true" outlineLevel="0" collapsed="false">
      <c r="A5" s="10" t="s">
        <v>104</v>
      </c>
      <c r="B5" s="23" t="n">
        <v>60</v>
      </c>
      <c r="C5" s="22" t="s">
        <v>103</v>
      </c>
      <c r="D5" s="22"/>
      <c r="E5" s="22"/>
      <c r="F5" s="22"/>
      <c r="G5" s="22"/>
      <c r="H5" s="22"/>
    </row>
    <row r="6" customFormat="false" ht="14.25" hidden="false" customHeight="true" outlineLevel="0" collapsed="false">
      <c r="A6" s="10" t="s">
        <v>105</v>
      </c>
      <c r="B6" s="24" t="n">
        <v>0.03</v>
      </c>
      <c r="C6" s="22" t="s">
        <v>103</v>
      </c>
      <c r="D6" s="22"/>
      <c r="E6" s="22"/>
      <c r="F6" s="22"/>
      <c r="G6" s="22"/>
      <c r="H6" s="22"/>
    </row>
    <row r="8" customFormat="false" ht="14.25" hidden="false" customHeight="true" outlineLevel="0" collapsed="false">
      <c r="A8" s="3" t="s">
        <v>106</v>
      </c>
      <c r="B8" s="3" t="s">
        <v>2</v>
      </c>
      <c r="C8" s="3" t="s">
        <v>107</v>
      </c>
      <c r="D8" s="3" t="s">
        <v>108</v>
      </c>
      <c r="E8" s="3" t="s">
        <v>109</v>
      </c>
      <c r="F8" s="3" t="s">
        <v>110</v>
      </c>
      <c r="G8" s="3" t="s">
        <v>8</v>
      </c>
      <c r="H8" s="3" t="s">
        <v>9</v>
      </c>
    </row>
    <row r="9" customFormat="false" ht="14.25" hidden="false" customHeight="true" outlineLevel="0" collapsed="false">
      <c r="A9" s="4" t="s">
        <v>175</v>
      </c>
      <c r="B9" s="4"/>
      <c r="C9" s="4"/>
      <c r="D9" s="4"/>
      <c r="E9" s="4"/>
      <c r="F9" s="4"/>
      <c r="G9" s="4"/>
      <c r="H9" s="4"/>
    </row>
    <row r="10" customFormat="false" ht="26.25" hidden="false" customHeight="true" outlineLevel="0" collapsed="false">
      <c r="A10" s="10" t="s">
        <v>176</v>
      </c>
      <c r="B10" s="11" t="s">
        <v>88</v>
      </c>
      <c r="C10" s="11" t="s">
        <v>122</v>
      </c>
      <c r="D10" s="11" t="s">
        <v>116</v>
      </c>
      <c r="E10" s="21" t="n">
        <v>20000</v>
      </c>
      <c r="F10" s="25" t="n">
        <f aca="false">E10</f>
        <v>20000</v>
      </c>
      <c r="G10" s="11" t="s">
        <v>17</v>
      </c>
      <c r="H10" s="12" t="s">
        <v>18</v>
      </c>
    </row>
    <row r="11" customFormat="false" ht="14.25" hidden="false" customHeight="true" outlineLevel="0" collapsed="false">
      <c r="A11" s="6" t="s">
        <v>177</v>
      </c>
      <c r="B11" s="7" t="s">
        <v>21</v>
      </c>
      <c r="C11" s="7" t="s">
        <v>178</v>
      </c>
      <c r="D11" s="7" t="s">
        <v>116</v>
      </c>
      <c r="E11" s="21" t="n">
        <v>8000</v>
      </c>
      <c r="F11" s="26" t="n">
        <f aca="false">E11</f>
        <v>8000</v>
      </c>
      <c r="G11" s="7" t="s">
        <v>17</v>
      </c>
      <c r="H11" s="8" t="s">
        <v>18</v>
      </c>
    </row>
    <row r="12" customFormat="false" ht="26.25" hidden="false" customHeight="true" outlineLevel="0" collapsed="false">
      <c r="A12" s="10" t="s">
        <v>179</v>
      </c>
      <c r="B12" s="11" t="s">
        <v>180</v>
      </c>
      <c r="C12" s="11" t="s">
        <v>181</v>
      </c>
      <c r="D12" s="11" t="s">
        <v>116</v>
      </c>
      <c r="E12" s="21" t="n">
        <v>15000</v>
      </c>
      <c r="F12" s="25" t="n">
        <f aca="false">E12</f>
        <v>15000</v>
      </c>
      <c r="G12" s="11" t="s">
        <v>17</v>
      </c>
      <c r="H12" s="12" t="s">
        <v>18</v>
      </c>
    </row>
    <row r="13" customFormat="false" ht="14.25" hidden="false" customHeight="true" outlineLevel="0" collapsed="false">
      <c r="A13" s="20" t="s">
        <v>167</v>
      </c>
      <c r="B13" s="20"/>
      <c r="C13" s="20"/>
      <c r="D13" s="20"/>
      <c r="E13" s="20"/>
      <c r="F13" s="20"/>
      <c r="G13" s="20"/>
      <c r="H13" s="20"/>
    </row>
    <row r="14" customFormat="false" ht="14.25" hidden="false" customHeight="true" outlineLevel="0" collapsed="false">
      <c r="A14" s="10" t="s">
        <v>55</v>
      </c>
      <c r="B14" s="11" t="s">
        <v>182</v>
      </c>
      <c r="C14" s="11" t="s">
        <v>129</v>
      </c>
      <c r="D14" s="30" t="n">
        <f aca="false">ROUND($B$5/12,1)</f>
        <v>5</v>
      </c>
      <c r="E14" s="21" t="n">
        <v>20000</v>
      </c>
      <c r="F14" s="25" t="n">
        <f aca="false">IF(ISNUMBER(D14),E14*D14,E14)</f>
        <v>100000</v>
      </c>
      <c r="G14" s="11" t="s">
        <v>35</v>
      </c>
      <c r="H14" s="12" t="s">
        <v>18</v>
      </c>
    </row>
    <row r="15" customFormat="false" ht="14.25" hidden="false" customHeight="true" outlineLevel="0" collapsed="false">
      <c r="A15" s="6" t="s">
        <v>183</v>
      </c>
      <c r="B15" s="7" t="s">
        <v>183</v>
      </c>
      <c r="C15" s="7" t="s">
        <v>129</v>
      </c>
      <c r="D15" s="31" t="n">
        <f aca="false">ROUND($B$5/12,1)</f>
        <v>5</v>
      </c>
      <c r="E15" s="21" t="n">
        <v>12000</v>
      </c>
      <c r="F15" s="26" t="n">
        <f aca="false">IF(ISNUMBER(D15),E15*D15,E15)</f>
        <v>60000</v>
      </c>
      <c r="G15" s="7" t="s">
        <v>35</v>
      </c>
      <c r="H15" s="8" t="s">
        <v>18</v>
      </c>
    </row>
    <row r="16" customFormat="false" ht="26.25" hidden="false" customHeight="true" outlineLevel="0" collapsed="false">
      <c r="A16" s="10" t="s">
        <v>184</v>
      </c>
      <c r="B16" s="11" t="s">
        <v>185</v>
      </c>
      <c r="C16" s="24" t="n">
        <v>0.0007</v>
      </c>
      <c r="D16" s="30" t="n">
        <f aca="false">ROUND($B$5/12,1)</f>
        <v>5</v>
      </c>
      <c r="E16" s="11"/>
      <c r="F16" s="25" t="n">
        <f aca="false">IF(ISNUMBER(D16),C16*$B$4*D16/12,C16*$B$4/12)</f>
        <v>2916.66666666667</v>
      </c>
      <c r="G16" s="11" t="s">
        <v>35</v>
      </c>
      <c r="H16" s="12" t="s">
        <v>18</v>
      </c>
    </row>
    <row r="17" customFormat="false" ht="14.25" hidden="false" customHeight="true" outlineLevel="0" collapsed="false">
      <c r="A17" s="14" t="s">
        <v>85</v>
      </c>
      <c r="B17" s="14"/>
      <c r="C17" s="14"/>
      <c r="D17" s="14"/>
      <c r="E17" s="14"/>
      <c r="F17" s="14"/>
      <c r="G17" s="14"/>
      <c r="H17" s="14"/>
    </row>
    <row r="18" customFormat="false" ht="26.25" hidden="false" customHeight="true" outlineLevel="0" collapsed="false">
      <c r="A18" s="13" t="s">
        <v>186</v>
      </c>
      <c r="B18" s="16"/>
      <c r="C18" s="16"/>
      <c r="D18" s="16"/>
      <c r="E18" s="16"/>
      <c r="F18" s="16"/>
      <c r="G18" s="16"/>
      <c r="H18" s="17"/>
    </row>
    <row r="19" customFormat="false" ht="23.25" hidden="false" customHeight="true" outlineLevel="0" collapsed="false">
      <c r="A19" s="10" t="s">
        <v>187</v>
      </c>
      <c r="B19" s="11" t="s">
        <v>188</v>
      </c>
      <c r="C19" s="11" t="s">
        <v>129</v>
      </c>
      <c r="D19" s="30" t="n">
        <f aca="false">ROUND($B$5/12,1)</f>
        <v>5</v>
      </c>
      <c r="E19" s="21" t="n">
        <v>0</v>
      </c>
      <c r="F19" s="25" t="n">
        <f aca="false">IF(ISNUMBER(D18),E18*D18,E18)</f>
        <v>0</v>
      </c>
      <c r="G19" s="11" t="s">
        <v>35</v>
      </c>
      <c r="H19" s="12" t="s">
        <v>18</v>
      </c>
    </row>
    <row r="20" customFormat="false" ht="14.25" hidden="false" customHeight="true" outlineLevel="0" collapsed="false">
      <c r="A20" s="6" t="s">
        <v>189</v>
      </c>
      <c r="B20" s="7" t="s">
        <v>67</v>
      </c>
      <c r="C20" s="7" t="s">
        <v>129</v>
      </c>
      <c r="D20" s="31" t="n">
        <f aca="false">ROUND($B$5/12,1)</f>
        <v>5</v>
      </c>
      <c r="E20" s="21" t="n">
        <v>0</v>
      </c>
      <c r="F20" s="26" t="n">
        <f aca="false">IF(ISNUMBER(D19),E19*D19,E19)</f>
        <v>0</v>
      </c>
      <c r="G20" s="7" t="s">
        <v>35</v>
      </c>
      <c r="H20" s="8" t="s">
        <v>18</v>
      </c>
    </row>
    <row r="21" customFormat="false" ht="14.25" hidden="false" customHeight="true" outlineLevel="0" collapsed="false">
      <c r="A21" s="14"/>
      <c r="B21" s="14"/>
      <c r="C21" s="14"/>
      <c r="D21" s="14"/>
      <c r="E21" s="14"/>
    </row>
    <row r="22" customFormat="false" ht="14.25" hidden="false" customHeight="true" outlineLevel="0" collapsed="false">
      <c r="A22" s="4" t="s">
        <v>134</v>
      </c>
      <c r="B22" s="4"/>
      <c r="C22" s="4"/>
      <c r="D22" s="4"/>
      <c r="E22" s="4"/>
      <c r="F22" s="33" t="n">
        <f aca="false">F10+F11+F12+F14+F15+F16+F17+F19+F20</f>
        <v>205916.666666667</v>
      </c>
    </row>
    <row r="23" customFormat="false" ht="14.25" hidden="false" customHeight="true" outlineLevel="0" collapsed="false">
      <c r="A23" s="34" t="s">
        <v>135</v>
      </c>
      <c r="B23" s="34"/>
      <c r="C23" s="34"/>
      <c r="D23" s="34"/>
      <c r="E23" s="34"/>
      <c r="F23" s="35" t="n">
        <f aca="false">IF($B$4&gt;0,F22/$B$4,0)</f>
        <v>0.0205916666666667</v>
      </c>
    </row>
    <row r="24" customFormat="false" ht="14.25" hidden="false" customHeight="true" outlineLevel="0" collapsed="false">
      <c r="A24" s="15" t="s">
        <v>136</v>
      </c>
      <c r="B24" s="15"/>
      <c r="C24" s="15"/>
      <c r="D24" s="15"/>
      <c r="E24" s="15"/>
      <c r="F24" s="36" t="n">
        <f aca="false">$B$6*$B$4</f>
        <v>300000</v>
      </c>
    </row>
    <row r="25" customFormat="false" ht="14.25" hidden="false" customHeight="true" outlineLevel="0" collapsed="false">
      <c r="A25" s="37" t="s">
        <v>137</v>
      </c>
      <c r="B25" s="37"/>
      <c r="C25" s="37"/>
      <c r="D25" s="37"/>
      <c r="E25" s="37"/>
      <c r="F25" s="38" t="n">
        <f aca="false">F22+F24</f>
        <v>505916.666666667</v>
      </c>
    </row>
    <row r="26" customFormat="false" ht="14.25" hidden="false" customHeight="true" outlineLevel="0" collapsed="false">
      <c r="A26" s="34" t="s">
        <v>138</v>
      </c>
      <c r="B26" s="16"/>
      <c r="C26" s="16"/>
      <c r="D26" s="16"/>
      <c r="E26" s="17"/>
      <c r="F26" s="35" t="n">
        <f aca="false">IF($B$4&gt;0,F25/$B$4,0)</f>
        <v>0.0505916666666667</v>
      </c>
    </row>
    <row r="27" customFormat="false" ht="14.25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</row>
    <row r="28" customFormat="false" ht="14.25" hidden="false" customHeight="true" outlineLevel="0" collapsed="false">
      <c r="A28" s="18" t="s">
        <v>139</v>
      </c>
    </row>
  </sheetData>
  <mergeCells count="14">
    <mergeCell ref="A1:H2"/>
    <mergeCell ref="A3:H3"/>
    <mergeCell ref="C4:H4"/>
    <mergeCell ref="C5:H5"/>
    <mergeCell ref="C6:H6"/>
    <mergeCell ref="A9:H9"/>
    <mergeCell ref="A13:H13"/>
    <mergeCell ref="A17:H17"/>
    <mergeCell ref="A21:E21"/>
    <mergeCell ref="A22:E22"/>
    <mergeCell ref="A23:E23"/>
    <mergeCell ref="A24:E24"/>
    <mergeCell ref="A25:E25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6" min="5" style="1" width="16"/>
    <col collapsed="false" customWidth="true" hidden="false" outlineLevel="0" max="7" min="7" style="1" width="15"/>
    <col collapsed="false" customWidth="true" hidden="false" outlineLevel="0" max="8" min="8" style="1" width="16"/>
  </cols>
  <sheetData>
    <row r="1" customFormat="false" ht="14.25" hidden="false" customHeight="true" outlineLevel="0" collapsed="false">
      <c r="A1" s="19" t="s">
        <v>190</v>
      </c>
      <c r="B1" s="19"/>
      <c r="C1" s="19"/>
      <c r="D1" s="19"/>
      <c r="E1" s="19"/>
      <c r="F1" s="19"/>
      <c r="G1" s="19"/>
      <c r="H1" s="19"/>
    </row>
    <row r="2" customFormat="false" ht="14.25" hidden="false" customHeight="true" outlineLevel="0" collapsed="false">
      <c r="A2" s="19"/>
      <c r="B2" s="19"/>
      <c r="C2" s="19"/>
      <c r="D2" s="19"/>
      <c r="E2" s="19"/>
      <c r="F2" s="19"/>
      <c r="G2" s="19"/>
      <c r="H2" s="19"/>
    </row>
    <row r="3" customFormat="false" ht="14.25" hidden="false" customHeight="true" outlineLevel="0" collapsed="false">
      <c r="A3" s="20" t="s">
        <v>101</v>
      </c>
      <c r="B3" s="20"/>
      <c r="C3" s="20"/>
      <c r="D3" s="20"/>
      <c r="E3" s="20"/>
      <c r="F3" s="20"/>
      <c r="G3" s="20"/>
      <c r="H3" s="20"/>
    </row>
    <row r="4" customFormat="false" ht="14.25" hidden="false" customHeight="true" outlineLevel="0" collapsed="false">
      <c r="A4" s="10" t="s">
        <v>102</v>
      </c>
      <c r="B4" s="21" t="n">
        <v>10000000</v>
      </c>
      <c r="C4" s="22" t="s">
        <v>103</v>
      </c>
      <c r="D4" s="22"/>
      <c r="E4" s="22"/>
      <c r="F4" s="22"/>
      <c r="G4" s="22"/>
      <c r="H4" s="22"/>
    </row>
    <row r="5" customFormat="false" ht="14.25" hidden="false" customHeight="true" outlineLevel="0" collapsed="false">
      <c r="A5" s="10" t="s">
        <v>104</v>
      </c>
      <c r="B5" s="23" t="n">
        <v>60</v>
      </c>
      <c r="C5" s="22" t="s">
        <v>103</v>
      </c>
      <c r="D5" s="22"/>
      <c r="E5" s="22"/>
      <c r="F5" s="22"/>
      <c r="G5" s="22"/>
      <c r="H5" s="22"/>
    </row>
    <row r="6" customFormat="false" ht="14.25" hidden="false" customHeight="true" outlineLevel="0" collapsed="false">
      <c r="A6" s="10" t="s">
        <v>105</v>
      </c>
      <c r="B6" s="24" t="n">
        <v>0.03</v>
      </c>
      <c r="C6" s="22" t="s">
        <v>103</v>
      </c>
      <c r="D6" s="22"/>
      <c r="E6" s="22"/>
      <c r="F6" s="22"/>
      <c r="G6" s="22"/>
      <c r="H6" s="22"/>
    </row>
    <row r="8" customFormat="false" ht="14.25" hidden="false" customHeight="true" outlineLevel="0" collapsed="false">
      <c r="A8" s="3" t="s">
        <v>106</v>
      </c>
      <c r="B8" s="3" t="s">
        <v>2</v>
      </c>
      <c r="C8" s="3" t="s">
        <v>107</v>
      </c>
      <c r="D8" s="3" t="s">
        <v>108</v>
      </c>
      <c r="E8" s="3" t="s">
        <v>109</v>
      </c>
      <c r="F8" s="3" t="s">
        <v>110</v>
      </c>
      <c r="G8" s="3" t="s">
        <v>8</v>
      </c>
      <c r="H8" s="3" t="s">
        <v>9</v>
      </c>
    </row>
    <row r="9" customFormat="false" ht="14.25" hidden="false" customHeight="true" outlineLevel="0" collapsed="false">
      <c r="A9" s="4" t="s">
        <v>191</v>
      </c>
      <c r="B9" s="4"/>
      <c r="C9" s="4"/>
      <c r="D9" s="4"/>
      <c r="E9" s="4"/>
      <c r="F9" s="4"/>
      <c r="G9" s="4"/>
      <c r="H9" s="4"/>
    </row>
    <row r="10" customFormat="false" ht="26.25" hidden="false" customHeight="true" outlineLevel="0" collapsed="false">
      <c r="A10" s="10" t="s">
        <v>112</v>
      </c>
      <c r="B10" s="11" t="s">
        <v>113</v>
      </c>
      <c r="C10" s="24" t="n">
        <v>0.0007</v>
      </c>
      <c r="D10" s="11" t="s">
        <v>114</v>
      </c>
      <c r="E10" s="11"/>
      <c r="F10" s="25" t="n">
        <f aca="false">C10*$B$4</f>
        <v>7000</v>
      </c>
      <c r="G10" s="11" t="s">
        <v>35</v>
      </c>
      <c r="H10" s="12" t="s">
        <v>192</v>
      </c>
    </row>
    <row r="11" customFormat="false" ht="14.25" hidden="false" customHeight="true" outlineLevel="0" collapsed="false">
      <c r="A11" s="20" t="s">
        <v>119</v>
      </c>
      <c r="B11" s="20"/>
      <c r="C11" s="20"/>
      <c r="D11" s="20"/>
      <c r="E11" s="20"/>
      <c r="F11" s="20"/>
      <c r="G11" s="20"/>
      <c r="H11" s="20"/>
    </row>
    <row r="12" customFormat="false" ht="14.25" hidden="false" customHeight="true" outlineLevel="0" collapsed="false">
      <c r="A12" s="10" t="s">
        <v>120</v>
      </c>
      <c r="B12" s="11" t="s">
        <v>121</v>
      </c>
      <c r="C12" s="11" t="s">
        <v>122</v>
      </c>
      <c r="D12" s="11" t="s">
        <v>116</v>
      </c>
      <c r="E12" s="21" t="n">
        <v>30000</v>
      </c>
      <c r="F12" s="25" t="n">
        <f aca="false">E12</f>
        <v>30000</v>
      </c>
      <c r="G12" s="11" t="s">
        <v>17</v>
      </c>
      <c r="H12" s="12" t="s">
        <v>18</v>
      </c>
    </row>
    <row r="13" customFormat="false" ht="26.25" hidden="false" customHeight="true" outlineLevel="0" collapsed="false">
      <c r="A13" s="6" t="s">
        <v>193</v>
      </c>
      <c r="B13" s="7" t="s">
        <v>121</v>
      </c>
      <c r="C13" s="7" t="s">
        <v>124</v>
      </c>
      <c r="D13" s="29" t="n">
        <f aca="false">$B$5</f>
        <v>60</v>
      </c>
      <c r="E13" s="21" t="n">
        <v>3000</v>
      </c>
      <c r="F13" s="26" t="n">
        <f aca="false">IF(ISNUMBER(D13),E13*D13,E13)</f>
        <v>180000</v>
      </c>
      <c r="G13" s="7" t="s">
        <v>43</v>
      </c>
      <c r="H13" s="8" t="s">
        <v>117</v>
      </c>
    </row>
    <row r="14" customFormat="false" ht="26.25" hidden="false" customHeight="true" outlineLevel="0" collapsed="false">
      <c r="A14" s="10" t="s">
        <v>125</v>
      </c>
      <c r="B14" s="11" t="s">
        <v>121</v>
      </c>
      <c r="C14" s="11" t="s">
        <v>126</v>
      </c>
      <c r="D14" s="23" t="n">
        <v>0</v>
      </c>
      <c r="E14" s="21" t="n">
        <v>500</v>
      </c>
      <c r="F14" s="25" t="n">
        <f aca="false">IF(ISNUMBER(D14),E14*D14,E14)</f>
        <v>0</v>
      </c>
      <c r="G14" s="11" t="s">
        <v>83</v>
      </c>
      <c r="H14" s="12" t="s">
        <v>117</v>
      </c>
    </row>
    <row r="15" customFormat="false" ht="14.25" hidden="false" customHeight="true" outlineLevel="0" collapsed="false">
      <c r="A15" s="40" t="s">
        <v>194</v>
      </c>
      <c r="B15" s="40"/>
      <c r="C15" s="40"/>
      <c r="D15" s="40"/>
      <c r="E15" s="40"/>
      <c r="F15" s="40"/>
      <c r="G15" s="40"/>
      <c r="H15" s="40"/>
    </row>
    <row r="16" customFormat="false" ht="14.25" hidden="false" customHeight="true" outlineLevel="0" collapsed="false">
      <c r="A16" s="10" t="s">
        <v>195</v>
      </c>
      <c r="B16" s="11" t="s">
        <v>21</v>
      </c>
      <c r="C16" s="11" t="s">
        <v>22</v>
      </c>
      <c r="D16" s="11" t="s">
        <v>116</v>
      </c>
      <c r="E16" s="21" t="n">
        <v>0</v>
      </c>
      <c r="F16" s="25" t="n">
        <f aca="false">E16</f>
        <v>0</v>
      </c>
      <c r="G16" s="11" t="s">
        <v>17</v>
      </c>
      <c r="H16" s="12" t="s">
        <v>117</v>
      </c>
    </row>
    <row r="17" customFormat="false" ht="14.25" hidden="false" customHeight="true" outlineLevel="0" collapsed="false">
      <c r="A17" s="6" t="s">
        <v>196</v>
      </c>
      <c r="B17" s="7" t="s">
        <v>21</v>
      </c>
      <c r="C17" s="27" t="n">
        <v>8E-006</v>
      </c>
      <c r="D17" s="29" t="n">
        <f aca="false">$B$5</f>
        <v>60</v>
      </c>
      <c r="E17" s="7"/>
      <c r="F17" s="26" t="n">
        <f aca="false">C17*$B$4*$B$5/12</f>
        <v>400</v>
      </c>
      <c r="G17" s="7" t="s">
        <v>43</v>
      </c>
      <c r="H17" s="8" t="s">
        <v>117</v>
      </c>
    </row>
    <row r="18" customFormat="false" ht="14.25" hidden="false" customHeight="true" outlineLevel="0" collapsed="false">
      <c r="A18" s="13" t="s">
        <v>197</v>
      </c>
      <c r="B18" s="13"/>
      <c r="C18" s="13"/>
      <c r="D18" s="13"/>
      <c r="E18" s="13"/>
      <c r="F18" s="13"/>
      <c r="G18" s="13"/>
      <c r="H18" s="13"/>
    </row>
    <row r="19" customFormat="false" ht="14.25" hidden="false" customHeight="true" outlineLevel="0" collapsed="false">
      <c r="A19" s="6" t="s">
        <v>198</v>
      </c>
      <c r="B19" s="7" t="s">
        <v>182</v>
      </c>
      <c r="C19" s="7" t="s">
        <v>129</v>
      </c>
      <c r="D19" s="31" t="n">
        <f aca="false">ROUND($B$5/12,1)</f>
        <v>5</v>
      </c>
      <c r="E19" s="21" t="n">
        <v>0</v>
      </c>
      <c r="F19" s="26" t="n">
        <f aca="false">IF(ISNUMBER(D19),E19*D19,E19)</f>
        <v>0</v>
      </c>
      <c r="G19" s="7" t="s">
        <v>35</v>
      </c>
      <c r="H19" s="8" t="s">
        <v>117</v>
      </c>
    </row>
    <row r="20" customFormat="false" ht="14.25" hidden="false" customHeight="true" outlineLevel="0" collapsed="false">
      <c r="A20" s="1" t="s">
        <v>85</v>
      </c>
      <c r="B20" s="1" t="s">
        <v>133</v>
      </c>
      <c r="C20" s="1" t="s">
        <v>124</v>
      </c>
      <c r="D20" s="32" t="n">
        <f aca="false">$B$5</f>
        <v>60</v>
      </c>
      <c r="E20" s="1" t="n">
        <v>200</v>
      </c>
      <c r="F20" s="1" t="n">
        <f aca="false">IF(ISNUMBER(D20),E20*D20,E20)</f>
        <v>12000</v>
      </c>
      <c r="G20" s="1" t="s">
        <v>43</v>
      </c>
      <c r="H20" s="1" t="s">
        <v>117</v>
      </c>
    </row>
    <row r="21" customFormat="false" ht="14.25" hidden="false" customHeight="true" outlineLevel="0" collapsed="false">
      <c r="A21" s="14"/>
      <c r="B21" s="14"/>
      <c r="C21" s="14"/>
      <c r="D21" s="14"/>
      <c r="E21" s="14"/>
    </row>
    <row r="22" customFormat="false" ht="14.25" hidden="false" customHeight="true" outlineLevel="0" collapsed="false">
      <c r="A22" s="4" t="s">
        <v>134</v>
      </c>
      <c r="B22" s="4"/>
      <c r="C22" s="4"/>
      <c r="D22" s="4"/>
      <c r="E22" s="4"/>
      <c r="F22" s="33" t="n">
        <f aca="false">F10+F12+F13+F14+F16+F17+F19+F20</f>
        <v>229400</v>
      </c>
    </row>
    <row r="23" customFormat="false" ht="14.25" hidden="false" customHeight="true" outlineLevel="0" collapsed="false">
      <c r="A23" s="34" t="s">
        <v>135</v>
      </c>
      <c r="B23" s="34"/>
      <c r="C23" s="34"/>
      <c r="D23" s="34"/>
      <c r="E23" s="34"/>
      <c r="F23" s="35" t="n">
        <f aca="false">IF($B$4&gt;0,F22/$B$4,0)</f>
        <v>0.02294</v>
      </c>
    </row>
    <row r="24" customFormat="false" ht="14.25" hidden="false" customHeight="true" outlineLevel="0" collapsed="false">
      <c r="A24" s="15" t="s">
        <v>136</v>
      </c>
      <c r="B24" s="15"/>
      <c r="C24" s="15"/>
      <c r="D24" s="15"/>
      <c r="E24" s="15"/>
      <c r="F24" s="36" t="n">
        <f aca="false">$B$6*$B$4</f>
        <v>300000</v>
      </c>
    </row>
    <row r="25" customFormat="false" ht="14.25" hidden="false" customHeight="true" outlineLevel="0" collapsed="false">
      <c r="A25" s="37" t="s">
        <v>137</v>
      </c>
      <c r="B25" s="37"/>
      <c r="C25" s="37"/>
      <c r="D25" s="37"/>
      <c r="E25" s="37"/>
      <c r="F25" s="38" t="n">
        <f aca="false">F22+F24</f>
        <v>529400</v>
      </c>
    </row>
    <row r="26" customFormat="false" ht="14.25" hidden="false" customHeight="true" outlineLevel="0" collapsed="false">
      <c r="A26" s="34" t="s">
        <v>138</v>
      </c>
      <c r="B26" s="16"/>
      <c r="C26" s="16"/>
      <c r="D26" s="16"/>
      <c r="E26" s="17"/>
      <c r="F26" s="35" t="n">
        <f aca="false">IF($B$4&gt;0,F25/$B$4,0)</f>
        <v>0.05294</v>
      </c>
    </row>
    <row r="27" customFormat="false" ht="14.25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</row>
    <row r="28" customFormat="false" ht="14.25" hidden="false" customHeight="true" outlineLevel="0" collapsed="false">
      <c r="A28" s="18" t="s">
        <v>139</v>
      </c>
    </row>
  </sheetData>
  <mergeCells count="15">
    <mergeCell ref="A1:H2"/>
    <mergeCell ref="A3:H3"/>
    <mergeCell ref="C4:H4"/>
    <mergeCell ref="C5:H5"/>
    <mergeCell ref="C6:H6"/>
    <mergeCell ref="A9:H9"/>
    <mergeCell ref="A11:H11"/>
    <mergeCell ref="A15:H15"/>
    <mergeCell ref="A18:H18"/>
    <mergeCell ref="A21:E21"/>
    <mergeCell ref="A22:E22"/>
    <mergeCell ref="A23:E23"/>
    <mergeCell ref="A24:E24"/>
    <mergeCell ref="A25:E25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74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J5" activeCellId="0" sqref="J5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3.44"/>
    <col collapsed="false" customWidth="true" hidden="false" outlineLevel="0" max="3" min="3" style="1" width="15.44"/>
    <col collapsed="false" customWidth="true" hidden="false" outlineLevel="0" max="4" min="4" style="1" width="12.88"/>
    <col collapsed="false" customWidth="true" hidden="false" outlineLevel="0" max="5" min="5" style="1" width="22.11"/>
  </cols>
  <sheetData>
    <row r="2" customFormat="false" ht="17.25" hidden="false" customHeight="true" outlineLevel="0" collapsed="false">
      <c r="B2" s="41" t="s">
        <v>199</v>
      </c>
      <c r="C2" s="41"/>
      <c r="D2" s="41"/>
      <c r="E2" s="41"/>
    </row>
    <row r="3" customFormat="false" ht="14.25" hidden="false" customHeight="true" outlineLevel="0" collapsed="false">
      <c r="B3" s="42"/>
      <c r="C3" s="42"/>
      <c r="D3" s="42"/>
      <c r="E3" s="42"/>
    </row>
    <row r="4" customFormat="false" ht="14.25" hidden="false" customHeight="true" outlineLevel="0" collapsed="false">
      <c r="B4" s="43" t="s">
        <v>200</v>
      </c>
      <c r="C4" s="43"/>
      <c r="D4" s="43"/>
      <c r="E4" s="43"/>
    </row>
    <row r="5" customFormat="false" ht="39" hidden="false" customHeight="true" outlineLevel="0" collapsed="false">
      <c r="B5" s="44" t="s">
        <v>201</v>
      </c>
      <c r="C5" s="44" t="s">
        <v>202</v>
      </c>
      <c r="D5" s="44" t="s">
        <v>203</v>
      </c>
      <c r="E5" s="44" t="s">
        <v>204</v>
      </c>
    </row>
    <row r="6" customFormat="false" ht="39" hidden="false" customHeight="true" outlineLevel="0" collapsed="false">
      <c r="B6" s="45" t="s">
        <v>205</v>
      </c>
      <c r="C6" s="46" t="s">
        <v>206</v>
      </c>
      <c r="D6" s="46" t="s">
        <v>207</v>
      </c>
      <c r="E6" s="46" t="s">
        <v>208</v>
      </c>
    </row>
    <row r="7" customFormat="false" ht="52.5" hidden="false" customHeight="true" outlineLevel="0" collapsed="false">
      <c r="B7" s="47" t="s">
        <v>209</v>
      </c>
      <c r="C7" s="48" t="s">
        <v>210</v>
      </c>
      <c r="D7" s="48" t="s">
        <v>211</v>
      </c>
      <c r="E7" s="48"/>
    </row>
    <row r="8" customFormat="false" ht="52.5" hidden="false" customHeight="true" outlineLevel="0" collapsed="false">
      <c r="B8" s="45" t="s">
        <v>212</v>
      </c>
      <c r="C8" s="46" t="s">
        <v>213</v>
      </c>
      <c r="D8" s="46" t="s">
        <v>214</v>
      </c>
      <c r="E8" s="46"/>
    </row>
    <row r="9" customFormat="false" ht="52.5" hidden="false" customHeight="true" outlineLevel="0" collapsed="false">
      <c r="B9" s="47" t="s">
        <v>215</v>
      </c>
      <c r="C9" s="48" t="s">
        <v>216</v>
      </c>
      <c r="D9" s="48" t="s">
        <v>217</v>
      </c>
      <c r="E9" s="48"/>
    </row>
    <row r="10" customFormat="false" ht="52.5" hidden="false" customHeight="true" outlineLevel="0" collapsed="false">
      <c r="B10" s="45" t="s">
        <v>218</v>
      </c>
      <c r="C10" s="46" t="s">
        <v>219</v>
      </c>
      <c r="D10" s="46" t="s">
        <v>220</v>
      </c>
      <c r="E10" s="46"/>
    </row>
    <row r="11" customFormat="false" ht="52.5" hidden="false" customHeight="true" outlineLevel="0" collapsed="false">
      <c r="B11" s="47" t="s">
        <v>221</v>
      </c>
      <c r="C11" s="48" t="s">
        <v>222</v>
      </c>
      <c r="D11" s="48" t="s">
        <v>223</v>
      </c>
      <c r="E11" s="48"/>
    </row>
    <row r="12" customFormat="false" ht="39" hidden="false" customHeight="true" outlineLevel="0" collapsed="false">
      <c r="B12" s="45" t="s">
        <v>224</v>
      </c>
      <c r="C12" s="46" t="s">
        <v>225</v>
      </c>
      <c r="D12" s="46" t="s">
        <v>226</v>
      </c>
      <c r="E12" s="46"/>
    </row>
    <row r="13" customFormat="false" ht="14.25" hidden="false" customHeight="true" outlineLevel="0" collapsed="false">
      <c r="B13" s="42"/>
      <c r="C13" s="42"/>
      <c r="D13" s="42"/>
      <c r="E13" s="42"/>
    </row>
    <row r="14" customFormat="false" ht="14.25" hidden="false" customHeight="true" outlineLevel="0" collapsed="false">
      <c r="B14" s="43" t="s">
        <v>227</v>
      </c>
      <c r="C14" s="43"/>
      <c r="D14" s="43"/>
      <c r="E14" s="43"/>
    </row>
    <row r="15" customFormat="false" ht="39" hidden="false" customHeight="true" outlineLevel="0" collapsed="false">
      <c r="B15" s="44" t="s">
        <v>201</v>
      </c>
      <c r="C15" s="44" t="s">
        <v>228</v>
      </c>
      <c r="D15" s="44"/>
      <c r="E15" s="44"/>
    </row>
    <row r="16" customFormat="false" ht="39" hidden="false" customHeight="true" outlineLevel="0" collapsed="false">
      <c r="B16" s="45" t="s">
        <v>229</v>
      </c>
      <c r="C16" s="46" t="s">
        <v>230</v>
      </c>
      <c r="D16" s="42"/>
      <c r="E16" s="42"/>
    </row>
    <row r="17" customFormat="false" ht="52.5" hidden="false" customHeight="true" outlineLevel="0" collapsed="false">
      <c r="B17" s="47" t="s">
        <v>231</v>
      </c>
      <c r="C17" s="48" t="s">
        <v>232</v>
      </c>
      <c r="D17" s="42"/>
      <c r="E17" s="42"/>
    </row>
    <row r="18" customFormat="false" ht="52.5" hidden="false" customHeight="true" outlineLevel="0" collapsed="false">
      <c r="B18" s="45" t="s">
        <v>233</v>
      </c>
      <c r="C18" s="46" t="s">
        <v>234</v>
      </c>
      <c r="D18" s="42"/>
      <c r="E18" s="42"/>
    </row>
    <row r="19" customFormat="false" ht="52.5" hidden="false" customHeight="true" outlineLevel="0" collapsed="false">
      <c r="B19" s="47" t="s">
        <v>235</v>
      </c>
      <c r="C19" s="48" t="s">
        <v>236</v>
      </c>
      <c r="D19" s="42"/>
      <c r="E19" s="42"/>
    </row>
    <row r="20" customFormat="false" ht="52.5" hidden="false" customHeight="true" outlineLevel="0" collapsed="false">
      <c r="B20" s="45" t="s">
        <v>237</v>
      </c>
      <c r="C20" s="46" t="s">
        <v>238</v>
      </c>
      <c r="D20" s="42"/>
      <c r="E20" s="42"/>
    </row>
    <row r="21" customFormat="false" ht="39" hidden="false" customHeight="true" outlineLevel="0" collapsed="false">
      <c r="B21" s="47" t="s">
        <v>224</v>
      </c>
      <c r="C21" s="48" t="s">
        <v>239</v>
      </c>
      <c r="D21" s="42"/>
      <c r="E21" s="42"/>
    </row>
    <row r="22" customFormat="false" ht="14.25" hidden="false" customHeight="true" outlineLevel="0" collapsed="false">
      <c r="B22" s="42"/>
      <c r="C22" s="42"/>
      <c r="D22" s="42"/>
      <c r="E22" s="42"/>
    </row>
    <row r="23" customFormat="false" ht="14.25" hidden="false" customHeight="true" outlineLevel="0" collapsed="false">
      <c r="B23" s="43" t="s">
        <v>240</v>
      </c>
      <c r="C23" s="43"/>
      <c r="D23" s="43"/>
      <c r="E23" s="43"/>
    </row>
    <row r="24" customFormat="false" ht="26.25" hidden="false" customHeight="true" outlineLevel="0" collapsed="false">
      <c r="B24" s="44" t="s">
        <v>241</v>
      </c>
      <c r="C24" s="44" t="s">
        <v>228</v>
      </c>
      <c r="D24" s="44" t="s">
        <v>242</v>
      </c>
      <c r="E24" s="44" t="s">
        <v>8</v>
      </c>
    </row>
    <row r="25" customFormat="false" ht="39" hidden="false" customHeight="true" outlineLevel="0" collapsed="false">
      <c r="B25" s="47" t="s">
        <v>3</v>
      </c>
      <c r="C25" s="48" t="s">
        <v>243</v>
      </c>
      <c r="D25" s="48" t="s">
        <v>244</v>
      </c>
      <c r="E25" s="48" t="s">
        <v>43</v>
      </c>
    </row>
    <row r="26" customFormat="false" ht="39" hidden="false" customHeight="true" outlineLevel="0" collapsed="false">
      <c r="B26" s="45" t="s">
        <v>245</v>
      </c>
      <c r="C26" s="46" t="s">
        <v>243</v>
      </c>
      <c r="D26" s="46" t="s">
        <v>244</v>
      </c>
      <c r="E26" s="46" t="s">
        <v>43</v>
      </c>
    </row>
    <row r="27" customFormat="false" ht="39" hidden="false" customHeight="true" outlineLevel="0" collapsed="false">
      <c r="B27" s="47" t="s">
        <v>4</v>
      </c>
      <c r="C27" s="48" t="s">
        <v>246</v>
      </c>
      <c r="D27" s="48" t="s">
        <v>244</v>
      </c>
      <c r="E27" s="48" t="s">
        <v>43</v>
      </c>
    </row>
    <row r="28" customFormat="false" ht="14.25" hidden="false" customHeight="true" outlineLevel="0" collapsed="false">
      <c r="B28" s="42"/>
      <c r="C28" s="42"/>
      <c r="D28" s="42"/>
      <c r="E28" s="42"/>
    </row>
    <row r="29" customFormat="false" ht="14.25" hidden="false" customHeight="true" outlineLevel="0" collapsed="false">
      <c r="B29" s="43" t="s">
        <v>247</v>
      </c>
      <c r="C29" s="43"/>
      <c r="D29" s="43"/>
      <c r="E29" s="43"/>
    </row>
    <row r="30" customFormat="false" ht="39" hidden="false" customHeight="true" outlineLevel="0" collapsed="false">
      <c r="B30" s="44" t="s">
        <v>201</v>
      </c>
      <c r="C30" s="44" t="s">
        <v>248</v>
      </c>
      <c r="D30" s="44"/>
      <c r="E30" s="44" t="s">
        <v>249</v>
      </c>
    </row>
    <row r="31" customFormat="false" ht="39" hidden="false" customHeight="true" outlineLevel="0" collapsed="false">
      <c r="B31" s="47" t="s">
        <v>205</v>
      </c>
      <c r="C31" s="48" t="s">
        <v>250</v>
      </c>
      <c r="D31" s="48"/>
      <c r="E31" s="48" t="s">
        <v>251</v>
      </c>
    </row>
    <row r="32" customFormat="false" ht="52.5" hidden="false" customHeight="true" outlineLevel="0" collapsed="false">
      <c r="B32" s="45" t="s">
        <v>209</v>
      </c>
      <c r="C32" s="46" t="s">
        <v>252</v>
      </c>
      <c r="D32" s="46"/>
      <c r="E32" s="46"/>
    </row>
    <row r="33" customFormat="false" ht="52.5" hidden="false" customHeight="true" outlineLevel="0" collapsed="false">
      <c r="B33" s="47" t="s">
        <v>212</v>
      </c>
      <c r="C33" s="48" t="s">
        <v>253</v>
      </c>
      <c r="D33" s="48"/>
      <c r="E33" s="48"/>
    </row>
    <row r="34" customFormat="false" ht="52.5" hidden="false" customHeight="true" outlineLevel="0" collapsed="false">
      <c r="B34" s="45" t="s">
        <v>215</v>
      </c>
      <c r="C34" s="46" t="s">
        <v>254</v>
      </c>
      <c r="D34" s="46"/>
      <c r="E34" s="46"/>
    </row>
    <row r="35" customFormat="false" ht="39" hidden="false" customHeight="true" outlineLevel="0" collapsed="false">
      <c r="B35" s="47" t="s">
        <v>255</v>
      </c>
      <c r="C35" s="48" t="s">
        <v>256</v>
      </c>
      <c r="D35" s="48"/>
      <c r="E35" s="48"/>
    </row>
    <row r="36" customFormat="false" ht="14.25" hidden="false" customHeight="true" outlineLevel="0" collapsed="false">
      <c r="B36" s="42"/>
      <c r="C36" s="42"/>
      <c r="D36" s="42"/>
      <c r="E36" s="42"/>
    </row>
    <row r="37" customFormat="false" ht="14.25" hidden="false" customHeight="true" outlineLevel="0" collapsed="false">
      <c r="B37" s="43" t="s">
        <v>257</v>
      </c>
      <c r="C37" s="43"/>
      <c r="D37" s="43"/>
      <c r="E37" s="43"/>
    </row>
    <row r="38" customFormat="false" ht="105" hidden="false" customHeight="true" outlineLevel="0" collapsed="false">
      <c r="B38" s="45" t="s">
        <v>258</v>
      </c>
      <c r="C38" s="46" t="s">
        <v>259</v>
      </c>
      <c r="D38" s="46" t="s">
        <v>35</v>
      </c>
      <c r="E38" s="46" t="s">
        <v>260</v>
      </c>
    </row>
    <row r="39" customFormat="false" ht="14.25" hidden="false" customHeight="true" outlineLevel="0" collapsed="false">
      <c r="B39" s="42"/>
      <c r="C39" s="42"/>
      <c r="D39" s="42"/>
      <c r="E39" s="42"/>
    </row>
    <row r="40" customFormat="false" ht="14.25" hidden="false" customHeight="true" outlineLevel="0" collapsed="false">
      <c r="B40" s="49" t="s">
        <v>261</v>
      </c>
      <c r="C40" s="49"/>
      <c r="D40" s="49"/>
      <c r="E40" s="49"/>
    </row>
    <row r="41" customFormat="false" ht="14.25" hidden="false" customHeight="true" outlineLevel="0" collapsed="false">
      <c r="B41" s="42"/>
      <c r="C41" s="42"/>
      <c r="D41" s="42"/>
      <c r="E41" s="42"/>
    </row>
    <row r="42" customFormat="false" ht="14.25" hidden="false" customHeight="true" outlineLevel="0" collapsed="false">
      <c r="B42" s="42"/>
      <c r="C42" s="42"/>
      <c r="D42" s="42"/>
      <c r="E42" s="42"/>
    </row>
    <row r="43" customFormat="false" ht="17.25" hidden="false" customHeight="true" outlineLevel="0" collapsed="false">
      <c r="B43" s="41" t="s">
        <v>262</v>
      </c>
      <c r="C43" s="41"/>
      <c r="D43" s="41"/>
      <c r="E43" s="41"/>
    </row>
    <row r="44" customFormat="false" ht="14.25" hidden="false" customHeight="true" outlineLevel="0" collapsed="false">
      <c r="B44" s="49" t="s">
        <v>263</v>
      </c>
      <c r="C44" s="49"/>
      <c r="D44" s="49"/>
      <c r="E44" s="49"/>
    </row>
    <row r="45" customFormat="false" ht="14.25" hidden="false" customHeight="true" outlineLevel="0" collapsed="false">
      <c r="B45" s="42"/>
      <c r="C45" s="42"/>
      <c r="D45" s="42"/>
      <c r="E45" s="42"/>
    </row>
    <row r="46" customFormat="false" ht="14.25" hidden="false" customHeight="true" outlineLevel="0" collapsed="false">
      <c r="B46" s="50" t="s">
        <v>264</v>
      </c>
      <c r="C46" s="50"/>
      <c r="D46" s="50"/>
      <c r="E46" s="50"/>
    </row>
    <row r="47" customFormat="false" ht="26.25" hidden="false" customHeight="true" outlineLevel="0" collapsed="false">
      <c r="B47" s="44" t="s">
        <v>265</v>
      </c>
      <c r="C47" s="44" t="s">
        <v>266</v>
      </c>
      <c r="D47" s="44" t="s">
        <v>248</v>
      </c>
      <c r="E47" s="44" t="s">
        <v>204</v>
      </c>
    </row>
    <row r="48" customFormat="false" ht="52.5" hidden="false" customHeight="true" outlineLevel="0" collapsed="false">
      <c r="B48" s="45" t="s">
        <v>267</v>
      </c>
      <c r="C48" s="46" t="s">
        <v>268</v>
      </c>
      <c r="D48" s="46" t="s">
        <v>269</v>
      </c>
      <c r="E48" s="46" t="s">
        <v>270</v>
      </c>
    </row>
    <row r="49" customFormat="false" ht="92.25" hidden="false" customHeight="true" outlineLevel="0" collapsed="false">
      <c r="B49" s="47" t="s">
        <v>271</v>
      </c>
      <c r="C49" s="48" t="s">
        <v>272</v>
      </c>
      <c r="D49" s="48" t="s">
        <v>269</v>
      </c>
      <c r="E49" s="48" t="s">
        <v>43</v>
      </c>
    </row>
    <row r="50" customFormat="false" ht="66" hidden="false" customHeight="true" outlineLevel="0" collapsed="false">
      <c r="B50" s="45" t="s">
        <v>273</v>
      </c>
      <c r="C50" s="46" t="s">
        <v>274</v>
      </c>
      <c r="D50" s="46" t="s">
        <v>275</v>
      </c>
      <c r="E50" s="46" t="s">
        <v>276</v>
      </c>
    </row>
    <row r="51" customFormat="false" ht="14.25" hidden="false" customHeight="true" outlineLevel="0" collapsed="false">
      <c r="B51" s="42"/>
      <c r="C51" s="42"/>
      <c r="D51" s="42"/>
      <c r="E51" s="42"/>
    </row>
    <row r="52" customFormat="false" ht="14.25" hidden="false" customHeight="true" outlineLevel="0" collapsed="false">
      <c r="B52" s="50" t="s">
        <v>277</v>
      </c>
      <c r="C52" s="50"/>
      <c r="D52" s="50"/>
      <c r="E52" s="50"/>
    </row>
    <row r="53" customFormat="false" ht="26.25" hidden="false" customHeight="true" outlineLevel="0" collapsed="false">
      <c r="B53" s="44" t="s">
        <v>265</v>
      </c>
      <c r="C53" s="44" t="s">
        <v>278</v>
      </c>
      <c r="D53" s="44" t="s">
        <v>279</v>
      </c>
      <c r="E53" s="44"/>
    </row>
    <row r="54" customFormat="false" ht="14.25" hidden="false" customHeight="true" outlineLevel="0" collapsed="false">
      <c r="B54" s="45" t="s">
        <v>280</v>
      </c>
      <c r="C54" s="46" t="s">
        <v>281</v>
      </c>
      <c r="D54" s="46" t="s">
        <v>282</v>
      </c>
      <c r="E54" s="51"/>
    </row>
    <row r="55" customFormat="false" ht="14.25" hidden="false" customHeight="true" outlineLevel="0" collapsed="false">
      <c r="B55" s="47" t="s">
        <v>249</v>
      </c>
      <c r="C55" s="48" t="s">
        <v>283</v>
      </c>
      <c r="D55" s="48" t="s">
        <v>284</v>
      </c>
      <c r="E55" s="52"/>
    </row>
    <row r="56" customFormat="false" ht="26.25" hidden="false" customHeight="true" outlineLevel="0" collapsed="false">
      <c r="B56" s="45" t="s">
        <v>285</v>
      </c>
      <c r="C56" s="46" t="s">
        <v>286</v>
      </c>
      <c r="D56" s="46" t="s">
        <v>287</v>
      </c>
      <c r="E56" s="51"/>
    </row>
    <row r="57" customFormat="false" ht="14.25" hidden="false" customHeight="true" outlineLevel="0" collapsed="false">
      <c r="B57" s="42"/>
      <c r="C57" s="42"/>
      <c r="D57" s="42"/>
      <c r="E57" s="42"/>
    </row>
    <row r="58" customFormat="false" ht="14.25" hidden="false" customHeight="true" outlineLevel="0" collapsed="false">
      <c r="B58" s="50" t="s">
        <v>288</v>
      </c>
      <c r="C58" s="50"/>
      <c r="D58" s="50"/>
      <c r="E58" s="50"/>
    </row>
    <row r="59" customFormat="false" ht="26.25" hidden="false" customHeight="true" outlineLevel="0" collapsed="false">
      <c r="B59" s="44" t="s">
        <v>265</v>
      </c>
      <c r="C59" s="44" t="s">
        <v>278</v>
      </c>
      <c r="D59" s="44" t="s">
        <v>279</v>
      </c>
      <c r="E59" s="44"/>
    </row>
    <row r="60" customFormat="false" ht="14.25" hidden="false" customHeight="true" outlineLevel="0" collapsed="false">
      <c r="B60" s="45" t="s">
        <v>280</v>
      </c>
      <c r="C60" s="46" t="s">
        <v>282</v>
      </c>
      <c r="D60" s="46" t="s">
        <v>282</v>
      </c>
      <c r="E60" s="51"/>
    </row>
    <row r="61" customFormat="false" ht="14.25" hidden="false" customHeight="true" outlineLevel="0" collapsed="false">
      <c r="B61" s="47" t="s">
        <v>249</v>
      </c>
      <c r="C61" s="48" t="s">
        <v>289</v>
      </c>
      <c r="D61" s="48" t="s">
        <v>290</v>
      </c>
      <c r="E61" s="52"/>
    </row>
    <row r="62" customFormat="false" ht="26.25" hidden="false" customHeight="true" outlineLevel="0" collapsed="false">
      <c r="B62" s="45" t="s">
        <v>285</v>
      </c>
      <c r="C62" s="46" t="s">
        <v>291</v>
      </c>
      <c r="D62" s="46" t="s">
        <v>292</v>
      </c>
      <c r="E62" s="51"/>
    </row>
    <row r="63" customFormat="false" ht="14.25" hidden="false" customHeight="true" outlineLevel="0" collapsed="false">
      <c r="B63" s="42"/>
      <c r="C63" s="42"/>
      <c r="D63" s="42"/>
      <c r="E63" s="42"/>
    </row>
    <row r="64" customFormat="false" ht="14.25" hidden="false" customHeight="true" outlineLevel="0" collapsed="false">
      <c r="B64" s="50" t="s">
        <v>293</v>
      </c>
      <c r="C64" s="50"/>
      <c r="D64" s="50"/>
      <c r="E64" s="50"/>
    </row>
    <row r="65" customFormat="false" ht="14.25" hidden="false" customHeight="true" outlineLevel="0" collapsed="false">
      <c r="B65" s="44" t="s">
        <v>265</v>
      </c>
      <c r="C65" s="44" t="s">
        <v>248</v>
      </c>
      <c r="D65" s="44" t="s">
        <v>249</v>
      </c>
      <c r="E65" s="44" t="s">
        <v>285</v>
      </c>
    </row>
    <row r="66" customFormat="false" ht="78.75" hidden="false" customHeight="true" outlineLevel="0" collapsed="false">
      <c r="B66" s="45" t="s">
        <v>294</v>
      </c>
      <c r="C66" s="46" t="s">
        <v>295</v>
      </c>
      <c r="D66" s="46" t="s">
        <v>296</v>
      </c>
      <c r="E66" s="46" t="s">
        <v>297</v>
      </c>
    </row>
    <row r="67" customFormat="false" ht="26.25" hidden="false" customHeight="true" outlineLevel="0" collapsed="false">
      <c r="B67" s="47" t="s">
        <v>279</v>
      </c>
      <c r="C67" s="48" t="s">
        <v>276</v>
      </c>
      <c r="D67" s="48"/>
      <c r="E67" s="48"/>
    </row>
    <row r="68" customFormat="false" ht="14.25" hidden="false" customHeight="true" outlineLevel="0" collapsed="false">
      <c r="B68" s="42"/>
      <c r="C68" s="42"/>
      <c r="D68" s="42"/>
      <c r="E68" s="42"/>
    </row>
    <row r="69" customFormat="false" ht="14.25" hidden="false" customHeight="true" outlineLevel="0" collapsed="false">
      <c r="B69" s="50" t="s">
        <v>298</v>
      </c>
      <c r="C69" s="50"/>
      <c r="D69" s="50"/>
      <c r="E69" s="50"/>
    </row>
    <row r="70" customFormat="false" ht="39" hidden="false" customHeight="true" outlineLevel="0" collapsed="false">
      <c r="B70" s="45" t="s">
        <v>299</v>
      </c>
      <c r="C70" s="46" t="s">
        <v>43</v>
      </c>
      <c r="D70" s="46" t="s">
        <v>300</v>
      </c>
      <c r="E70" s="46" t="s">
        <v>301</v>
      </c>
    </row>
    <row r="71" customFormat="false" ht="14.25" hidden="false" customHeight="true" outlineLevel="0" collapsed="false">
      <c r="B71" s="42"/>
      <c r="C71" s="42"/>
      <c r="D71" s="42"/>
      <c r="E71" s="42"/>
    </row>
    <row r="72" customFormat="false" ht="14.25" hidden="false" customHeight="true" outlineLevel="0" collapsed="false">
      <c r="B72" s="49" t="s">
        <v>302</v>
      </c>
      <c r="C72" s="49"/>
      <c r="D72" s="49"/>
      <c r="E72" s="49"/>
    </row>
    <row r="73" customFormat="false" ht="14.25" hidden="false" customHeight="true" outlineLevel="0" collapsed="false">
      <c r="B73" s="53" t="s">
        <v>303</v>
      </c>
      <c r="C73" s="53"/>
      <c r="D73" s="53"/>
      <c r="E73" s="53"/>
    </row>
    <row r="74" customFormat="false" ht="14.25" hidden="false" customHeight="true" outlineLevel="0" collapsed="false">
      <c r="B74" s="42"/>
      <c r="C74" s="42"/>
      <c r="D74" s="42"/>
      <c r="E74" s="42"/>
    </row>
  </sheetData>
  <mergeCells count="16">
    <mergeCell ref="B2:E2"/>
    <mergeCell ref="B4:E4"/>
    <mergeCell ref="B14:E14"/>
    <mergeCell ref="B23:E23"/>
    <mergeCell ref="B29:E29"/>
    <mergeCell ref="B37:E37"/>
    <mergeCell ref="B40:E40"/>
    <mergeCell ref="B43:E43"/>
    <mergeCell ref="B44:E44"/>
    <mergeCell ref="B46:E46"/>
    <mergeCell ref="B52:E52"/>
    <mergeCell ref="B58:E58"/>
    <mergeCell ref="B64:E64"/>
    <mergeCell ref="B69:E69"/>
    <mergeCell ref="B72:E72"/>
    <mergeCell ref="B73:E7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6796875" defaultRowHeight="14.25" zeroHeight="false" outlineLevelRow="0" outlineLevelCol="0"/>
  <cols>
    <col collapsed="false" customWidth="true" hidden="false" outlineLevel="0" max="3" min="3" style="1" width="37.75"/>
    <col collapsed="false" customWidth="true" hidden="false" outlineLevel="0" max="4" min="4" style="1" width="17.67"/>
    <col collapsed="false" customWidth="true" hidden="false" outlineLevel="0" max="5" min="5" style="1" width="16.77"/>
    <col collapsed="false" customWidth="true" hidden="false" outlineLevel="0" max="6" min="6" style="1" width="22.44"/>
  </cols>
  <sheetData>
    <row r="3" customFormat="false" ht="21" hidden="false" customHeight="true" outlineLevel="0" collapsed="false">
      <c r="C3" s="54" t="s">
        <v>304</v>
      </c>
      <c r="D3" s="54"/>
      <c r="E3" s="54"/>
      <c r="F3" s="54"/>
    </row>
    <row r="5" customFormat="false" ht="15" hidden="false" customHeight="true" outlineLevel="0" collapsed="false">
      <c r="C5" s="55" t="s">
        <v>305</v>
      </c>
      <c r="D5" s="55"/>
      <c r="E5" s="56"/>
      <c r="F5" s="56"/>
    </row>
    <row r="6" customFormat="false" ht="15" hidden="false" customHeight="true" outlineLevel="0" collapsed="false"/>
    <row r="7" customFormat="false" ht="18" hidden="false" customHeight="true" outlineLevel="0" collapsed="false">
      <c r="C7" s="57" t="s">
        <v>306</v>
      </c>
      <c r="D7" s="58" t="n">
        <v>5000000</v>
      </c>
      <c r="E7" s="59" t="s">
        <v>307</v>
      </c>
    </row>
    <row r="9" customFormat="false" ht="15" hidden="false" customHeight="true" outlineLevel="0" collapsed="false">
      <c r="C9" s="55" t="s">
        <v>308</v>
      </c>
      <c r="D9" s="55"/>
      <c r="E9" s="55"/>
      <c r="F9" s="55"/>
    </row>
    <row r="11" customFormat="false" ht="16.5" hidden="false" customHeight="true" outlineLevel="0" collapsed="false">
      <c r="C11" s="60" t="s">
        <v>309</v>
      </c>
      <c r="D11" s="61" t="n">
        <f aca="false">IF(D7="","",IF(D7&lt;=1000000,1,IF(D7&lt;=10000000,2,IF(D7&lt;=50000000,3,IF(D7&lt;=100000000,4,IF(D7&lt;=500000000,5,IF(D7&lt;=2500000000,6,"Acima do limite")))))))</f>
        <v>2</v>
      </c>
    </row>
    <row r="12" customFormat="false" ht="17.25" hidden="false" customHeight="true" outlineLevel="0" collapsed="false">
      <c r="C12" s="60" t="s">
        <v>310</v>
      </c>
      <c r="D12" s="62" t="n">
        <f aca="false">IF(D7="","",IF(D7&lt;=1000000,0.0015,IF(D7&lt;=10000000,0.0012,IF(D7&lt;=50000000,0.0011,IF(D7&lt;=100000000,0.0009,IF(D7&lt;=500000000,0.00066,IF(D7&lt;=2500000000,0.00049,"N/A")))))))</f>
        <v>0.0012</v>
      </c>
    </row>
    <row r="13" customFormat="false" ht="18" hidden="false" customHeight="true" outlineLevel="0" collapsed="false">
      <c r="C13" s="60" t="s">
        <v>311</v>
      </c>
      <c r="D13" s="63" t="n">
        <f aca="false">IF(OR(D7="",D12="N/A"),"",D7*D12)</f>
        <v>6000</v>
      </c>
    </row>
    <row r="14" customFormat="false" ht="16.5" hidden="false" customHeight="true" outlineLevel="0" collapsed="false">
      <c r="C14" s="60" t="s">
        <v>312</v>
      </c>
      <c r="D14" s="64" t="n">
        <v>500</v>
      </c>
    </row>
    <row r="15" customFormat="false" ht="15" hidden="false" customHeight="true" outlineLevel="0" collapsed="false"/>
    <row r="16" customFormat="false" ht="18" hidden="false" customHeight="true" outlineLevel="0" collapsed="false">
      <c r="C16" s="65" t="s">
        <v>313</v>
      </c>
      <c r="D16" s="66" t="n">
        <f aca="false">IF(D13="","",D13+D14*12)</f>
        <v>12000</v>
      </c>
    </row>
    <row r="17" customFormat="false" ht="16.5" hidden="false" customHeight="true" outlineLevel="0" collapsed="false">
      <c r="C17" s="60" t="s">
        <v>314</v>
      </c>
      <c r="D17" s="62" t="n">
        <f aca="false">IF(OR(D7="",D7=0,D16=""),"",D16/D7)</f>
        <v>0.0024</v>
      </c>
    </row>
    <row r="19" customFormat="false" ht="15" hidden="false" customHeight="true" outlineLevel="0" collapsed="false">
      <c r="C19" s="55" t="s">
        <v>315</v>
      </c>
      <c r="D19" s="55"/>
      <c r="E19" s="55"/>
      <c r="F19" s="55"/>
    </row>
    <row r="21" customFormat="false" ht="14.25" hidden="false" customHeight="true" outlineLevel="0" collapsed="false">
      <c r="C21" s="67" t="s">
        <v>316</v>
      </c>
      <c r="D21" s="67" t="s">
        <v>317</v>
      </c>
      <c r="E21" s="67" t="s">
        <v>318</v>
      </c>
      <c r="F21" s="67" t="s">
        <v>51</v>
      </c>
    </row>
    <row r="22" customFormat="false" ht="14.25" hidden="false" customHeight="true" outlineLevel="0" collapsed="false">
      <c r="C22" s="68" t="n">
        <v>1</v>
      </c>
      <c r="D22" s="68" t="s">
        <v>319</v>
      </c>
      <c r="E22" s="69" t="n">
        <v>1000000</v>
      </c>
      <c r="F22" s="68" t="s">
        <v>320</v>
      </c>
    </row>
    <row r="23" customFormat="false" ht="14.25" hidden="false" customHeight="true" outlineLevel="0" collapsed="false">
      <c r="C23" s="70" t="n">
        <v>2</v>
      </c>
      <c r="D23" s="71" t="n">
        <v>1000000.01</v>
      </c>
      <c r="E23" s="71" t="n">
        <v>10000000</v>
      </c>
      <c r="F23" s="70" t="s">
        <v>321</v>
      </c>
    </row>
    <row r="24" customFormat="false" ht="14.25" hidden="false" customHeight="true" outlineLevel="0" collapsed="false">
      <c r="C24" s="68" t="n">
        <v>3</v>
      </c>
      <c r="D24" s="69" t="n">
        <v>10000000.01</v>
      </c>
      <c r="E24" s="69" t="n">
        <v>50000000</v>
      </c>
      <c r="F24" s="68" t="s">
        <v>322</v>
      </c>
    </row>
    <row r="25" customFormat="false" ht="14.25" hidden="false" customHeight="true" outlineLevel="0" collapsed="false">
      <c r="C25" s="70" t="n">
        <v>4</v>
      </c>
      <c r="D25" s="71" t="n">
        <v>50000000.01</v>
      </c>
      <c r="E25" s="71" t="n">
        <v>100000000</v>
      </c>
      <c r="F25" s="70" t="s">
        <v>323</v>
      </c>
    </row>
    <row r="26" customFormat="false" ht="14.25" hidden="false" customHeight="true" outlineLevel="0" collapsed="false">
      <c r="C26" s="68" t="n">
        <v>5</v>
      </c>
      <c r="D26" s="69" t="n">
        <v>100000000.01</v>
      </c>
      <c r="E26" s="69" t="n">
        <v>500000000</v>
      </c>
      <c r="F26" s="68" t="s">
        <v>324</v>
      </c>
    </row>
    <row r="27" customFormat="false" ht="14.25" hidden="false" customHeight="true" outlineLevel="0" collapsed="false">
      <c r="C27" s="70" t="n">
        <v>6</v>
      </c>
      <c r="D27" s="71" t="n">
        <v>500000000.01</v>
      </c>
      <c r="E27" s="71" t="n">
        <v>2500000000</v>
      </c>
      <c r="F27" s="70" t="s">
        <v>325</v>
      </c>
    </row>
    <row r="29" customFormat="false" ht="14.25" hidden="false" customHeight="true" outlineLevel="0" collapsed="false">
      <c r="C29" s="72" t="s">
        <v>312</v>
      </c>
      <c r="D29" s="73" t="s">
        <v>326</v>
      </c>
    </row>
    <row r="31" customFormat="false" ht="14.25" hidden="false" customHeight="true" outlineLevel="0" collapsed="false">
      <c r="C31" s="74" t="s">
        <v>327</v>
      </c>
    </row>
  </sheetData>
  <mergeCells count="4">
    <mergeCell ref="C3:F3"/>
    <mergeCell ref="C5:D5"/>
    <mergeCell ref="C9:F9"/>
    <mergeCell ref="C19:F1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2026-06-02T15:23:49Z</dcterms:created>
  <dc:creator>openpyxl</dc:creator>
  <dc:description/>
  <dc:language>en-US</dc:language>
  <cp:lastModifiedBy>Gabriel Santos</cp:lastModifiedBy>
  <dcterms:modified xsi:type="dcterms:W3CDTF">2026-06-03T14:41:29Z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